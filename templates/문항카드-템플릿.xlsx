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dev\question-maker\templates\"/>
    </mc:Choice>
  </mc:AlternateContent>
  <xr:revisionPtr revIDLastSave="0" documentId="13_ncr:1_{35B5A58A-6B76-4E5B-B9CF-8554876062B6}" xr6:coauthVersionLast="47" xr6:coauthVersionMax="47" xr10:uidLastSave="{00000000-0000-0000-0000-000000000000}"/>
  <bookViews>
    <workbookView xWindow="-28920" yWindow="-120" windowWidth="29040" windowHeight="15720" tabRatio="500" xr2:uid="{00000000-000D-0000-FFFF-FFFF00000000}"/>
  </bookViews>
  <sheets>
    <sheet name="문항카드 생성" sheetId="1" r:id="rId1"/>
    <sheet name="성취기준(22개정)" sheetId="2" r:id="rId2"/>
  </sheets>
  <definedNames>
    <definedName name="_xlnm.Print_Area" localSheetId="0">'문항카드 생성'!$A$1:$N$110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0" i="1" l="1"/>
  <c r="D110" i="1"/>
  <c r="E109" i="1"/>
  <c r="D109" i="1"/>
  <c r="E108" i="1"/>
  <c r="D108" i="1"/>
  <c r="E107" i="1"/>
  <c r="D107" i="1"/>
  <c r="E106" i="1"/>
  <c r="D106" i="1"/>
  <c r="E105" i="1"/>
  <c r="D105" i="1"/>
  <c r="E104" i="1"/>
  <c r="D104" i="1"/>
  <c r="E103" i="1"/>
  <c r="D103" i="1"/>
  <c r="E102" i="1"/>
  <c r="D102" i="1"/>
  <c r="E101" i="1"/>
  <c r="D101" i="1"/>
  <c r="E100" i="1"/>
  <c r="D100" i="1"/>
  <c r="E99" i="1"/>
  <c r="D99" i="1"/>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5" i="1"/>
  <c r="D65"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E37" i="1"/>
  <c r="D37" i="1"/>
  <c r="E36" i="1"/>
  <c r="D36" i="1"/>
  <c r="E35" i="1"/>
  <c r="D35" i="1"/>
  <c r="E34" i="1"/>
  <c r="D34" i="1"/>
  <c r="E33" i="1"/>
  <c r="D33" i="1"/>
  <c r="E32" i="1"/>
  <c r="D32" i="1"/>
  <c r="E31" i="1"/>
  <c r="D31" i="1"/>
  <c r="E30" i="1"/>
  <c r="D30" i="1"/>
  <c r="E29" i="1"/>
  <c r="D29" i="1"/>
  <c r="E28" i="1"/>
  <c r="D28" i="1"/>
  <c r="E27" i="1"/>
  <c r="D27" i="1"/>
  <c r="E26" i="1"/>
  <c r="D26" i="1"/>
  <c r="E25" i="1"/>
  <c r="D25" i="1"/>
  <c r="E24" i="1"/>
  <c r="D24" i="1"/>
  <c r="E23" i="1"/>
  <c r="D23" i="1"/>
  <c r="E22" i="1"/>
  <c r="D22" i="1"/>
  <c r="E21" i="1"/>
  <c r="D21" i="1"/>
  <c r="E20" i="1"/>
  <c r="D20" i="1"/>
  <c r="E19" i="1"/>
  <c r="D19" i="1"/>
  <c r="E18" i="1"/>
  <c r="D18" i="1"/>
  <c r="E17" i="1"/>
  <c r="D17" i="1"/>
  <c r="E16" i="1"/>
  <c r="D16" i="1"/>
  <c r="E15" i="1"/>
  <c r="D15" i="1"/>
  <c r="E14" i="1"/>
  <c r="D14" i="1"/>
  <c r="E13" i="1"/>
  <c r="D13" i="1"/>
  <c r="E12" i="1"/>
  <c r="D12" i="1"/>
  <c r="E11" i="1"/>
  <c r="D11" i="1"/>
  <c r="O8" i="1"/>
  <c r="H8" i="1"/>
  <c r="D8" i="1"/>
  <c r="H7" i="1"/>
  <c r="F7" i="1"/>
  <c r="E7" i="1"/>
  <c r="D7" i="1"/>
  <c r="F8" i="1" s="1"/>
  <c r="H6" i="1"/>
  <c r="H5" i="1"/>
  <c r="H4" i="1"/>
</calcChain>
</file>

<file path=xl/sharedStrings.xml><?xml version="1.0" encoding="utf-8"?>
<sst xmlns="http://schemas.openxmlformats.org/spreadsheetml/2006/main" count="7813" uniqueCount="7531">
  <si>
    <t>학년도</t>
  </si>
  <si>
    <t>정답분포</t>
  </si>
  <si>
    <t>범위</t>
  </si>
  <si>
    <t>회고사</t>
  </si>
  <si>
    <t>문항 카드 작성</t>
  </si>
  <si>
    <t>①</t>
  </si>
  <si>
    <t>시공간과 운동</t>
  </si>
  <si>
    <t>상</t>
  </si>
  <si>
    <t>중</t>
  </si>
  <si>
    <t>하</t>
  </si>
  <si>
    <t>②</t>
  </si>
  <si>
    <t>난이도</t>
  </si>
  <si>
    <t>③</t>
  </si>
  <si>
    <t>~</t>
  </si>
  <si>
    <t>현황</t>
  </si>
  <si>
    <t>④</t>
  </si>
  <si>
    <t>목표</t>
  </si>
  <si>
    <t>⑤</t>
  </si>
  <si>
    <t>배점 합</t>
  </si>
  <si>
    <t>번호</t>
  </si>
  <si>
    <t>성취기준 코드</t>
  </si>
  <si>
    <t>성취기준명</t>
  </si>
  <si>
    <t>성취기준 해설</t>
  </si>
  <si>
    <t>문항 유형</t>
  </si>
  <si>
    <t>답</t>
  </si>
  <si>
    <t>문항 핵심 아이디어</t>
  </si>
  <si>
    <t>[문두]</t>
  </si>
  <si>
    <t>[자료]</t>
  </si>
  <si>
    <t>[발문]</t>
  </si>
  <si>
    <t>[보기]</t>
  </si>
  <si>
    <t>[답지]</t>
  </si>
  <si>
    <t>배점</t>
  </si>
  <si>
    <t>예상 난도(교정)</t>
  </si>
  <si>
    <t>예상 변별도(교정)</t>
  </si>
  <si>
    <t>기존 번호</t>
  </si>
  <si>
    <t>연번</t>
  </si>
  <si>
    <t>[9과01-01]</t>
  </si>
  <si>
    <t>과학적 탐구 방법을 이해하고, 일상생활의 문제에 대한 과학적 해결 방안을 제안할 수 있다.</t>
  </si>
  <si>
    <t>간단한 탐구 실험을 제시하여 탐구 절차 및 방법을 익히도록 하며, 학생이 스스로 발견한 문제를 일정 기간 동안 지속적으로 탐구하여 해결해 보는 기회를 제공할 수 있다.</t>
  </si>
  <si>
    <t>[9과01-02]</t>
  </si>
  <si>
    <t>과학의 발전이 인류 문명에 미친 영향을 이해하고, 인공지능 등 첨단 과학기술이 가져올 미래 사회의 변화를 조사하여 발표할 수 있다.</t>
  </si>
  <si>
    <t>과학적 탐구 방법을 통해 얻은 과학 지식과 방법이 인류 문명과 문화 발달에 미친 영향을 중심으로 학습하고, 원리보다는 활용 측면에서 첨단 과학기술 사례를 함께 다룬다.</t>
  </si>
  <si>
    <t>[9과01-03]</t>
  </si>
  <si>
    <t>인류의 지속가능한 삶을 위한 과학기술의 중요성과 역할에 대해 토의하고, 개인과 사회 차원의 활동 방안을 찾아 실천할 수 있다.</t>
  </si>
  <si>
    <t>[9과02-01]</t>
  </si>
  <si>
    <t>세포는 생명 활동이 일어나는 기본 단위임을 이해하고, 세포의 구조와 기능의 관계를 추론할 수 있다.</t>
  </si>
  <si>
    <t>세포의 구조는 세포벽, 세포막, 핵, 엽록체, 미토콘드리아를, 세포의 특징으로는 생명 활동을 유추할 수 있는 세포(적혈구, 신경세포, 상피세포 등)를 다룬다.</t>
  </si>
  <si>
    <t>[9과02-02]</t>
  </si>
  <si>
    <t>생물의 유기적 구성 단계를 이해하고, 동물과 식물을 비교하여 분석할 수 있다.</t>
  </si>
  <si>
    <t>분광기를 활용하여 수소의 선스펙트럼을 관찰하고 이를 우주 전역의 선스펙트럼을 관찰한 결과 자료와 비교함으로써 우주 진화 초기에 만들어진 수소와 헬륨이 현재 우주의 주요 구성 원소임을 파악하게 한다.</t>
  </si>
  <si>
    <t>[9과02-03]</t>
  </si>
  <si>
    <t>생물다양성을 이해하고, 변이와 생물다양성의 관계를 추론할 수 있다.</t>
  </si>
  <si>
    <t>별의 진화 과정에서 별 내부의 핵융합을 통해 탄소, 질소, 산소가 생성되는 것을 정성적으로 다루고, 초신성 폭발의 결과로 철보다 무거운 원소가 만들어짐을 다룬다.</t>
  </si>
  <si>
    <t>[9과02-04]</t>
  </si>
  <si>
    <t>종의 개념과 분류 체계를 이해하고, 생물을 계 수준에서 분류할 수 있다.</t>
  </si>
  <si>
    <t>종은 생물학적 종 개념만을, 생물 분류 체계는 5계만을 다루도록 한다.</t>
  </si>
  <si>
    <t>[9과02-05]</t>
  </si>
  <si>
    <t>생물다양성 보전의 필요성을 이해하고, 생물다양성 유지를 위한 방안을 조사하고 실천할 수 있다.</t>
  </si>
  <si>
    <t>각 화학 결합으로 나타나는 성질은 전기 전도성에 한정하여 다룬다.</t>
  </si>
  <si>
    <t>[9과03-01]</t>
  </si>
  <si>
    <t>온도와 열평형 과정을 물질을 구성하는 입자들의 배치나 움직임 등으로 설명할 수 있다.</t>
  </si>
  <si>
    <t>온도가 다른 두 물체가 열평형에 도달하는 과정을 시간-온도 그래프 등을 활용하여 설명할 수 있도록 한다.</t>
  </si>
  <si>
    <t>[9과03-02]</t>
  </si>
  <si>
    <t>열은 전도, 대류, 복사로 전달됨을 알고, 열전달 과정을 모형 등을 사용하여 다양하게 표현할 수 있다.</t>
  </si>
  <si>
    <t>열의 이동 방식을 주변 도구나 신체를 이용하여 비유적으로 다양하게 표현하고, 그 차이를 설명할 수 있도록 한다.</t>
  </si>
  <si>
    <t>[9과03-03]</t>
  </si>
  <si>
    <t>물질에 따라 비열과 열팽창 정도가 다름을 알고, 이러한 성질이 일상생활에서 유용하게 활용됨을 인식할 수 있다.</t>
  </si>
  <si>
    <t>지구시스템을 구성하는 권역들의 성층구조를 파악하게 한다. 기권, 수권 등 각 권역이 상호작용하는 과정의 에너지 흐름과 물질 순환으로 인해 지표의 변화, 날씨의 변화 등과 같은 여러 가지 과학적 현상이 일어남을 다룬다.</t>
  </si>
  <si>
    <t>[9과04-01]</t>
  </si>
  <si>
    <t>확산 및 증발 현상을 관찰하여 물질을 구성하는 입자가 운동하고 있음을 추론할 수 있다.</t>
  </si>
  <si>
    <t>[9과04-02]</t>
  </si>
  <si>
    <t>물질의 세 가지 상태의 특징을 설명하고, 이를 입자 모형으로 표현할 수 있다.</t>
  </si>
  <si>
    <t>물질의 상태를 나타내는 입자 모형은 입자 사이의 상대적 거리, 입자 배열의 불규칙한 정도, 입자의 운동성 등을 비교한 내용을 포함한다.</t>
  </si>
  <si>
    <t>[9과04-03]</t>
  </si>
  <si>
    <t>여러 가지 물질의 상태 변화를 관찰하고, 이를 입자 모형으로 설명할 수 있다.</t>
  </si>
  <si>
    <t>여러 가지 물질의 상태 변화를 관찰하여 융해, 응고, 기화, 액화, 승화를 구분하고, 물질의 상태가 변할 때 부피는 변하고 질량과 물질의 성질은 변하지 않는 이유를 입자 모형으로 설명한다.</t>
  </si>
  <si>
    <t>[9과04-04]</t>
  </si>
  <si>
    <t>물질의 상태 변화와 열에너지 출입 관계를 이해하고, 이를 실생활에 적용하여 과학의 유용성을 인식할 수 있다.</t>
  </si>
  <si>
    <t>물질의 상태 변화 시 온도가 일정한 이유를 상태 변화 과정에서 출입하는 열에너지와 관련지어 설명한다.</t>
  </si>
  <si>
    <t>[9과05-01]</t>
  </si>
  <si>
    <t>물체에 작용하는 힘을 화살표를 이용하여 나타내고, 힘의 평형을 이루는 조건을 설명할 수 있다.</t>
  </si>
  <si>
    <t>힘의 정의를 알고 힘을 크기와 방향으로 나타낼 수 있도록 하며, 나란한 힘의 합력만을 다루도록 한다.</t>
  </si>
  <si>
    <t>[9과05-02]</t>
  </si>
  <si>
    <t>중력, 탄성력, 마찰력, 부력을 이해하고, 각 힘의 특징을 크기와 방향으로 설명할 수 있다.</t>
  </si>
  <si>
    <t>중력을 지도할 때, 질량과 무게를 구별하도록 한다.</t>
  </si>
  <si>
    <t>[9과05-03]</t>
  </si>
  <si>
    <t>알짜힘이 0이 아닐 때 물체의 운동 상태가 변함을 알고, 그 예를 조사하여 분류할 수 있다.</t>
  </si>
  <si>
    <t>물체가 힘을 받았을 때 물체의 운동을 속력이 변하거나 운동 방향이 바뀌거나 두 가지가 모두 변하는 사례로 분류하도록 한다.</t>
  </si>
  <si>
    <t>[9과05-04]</t>
  </si>
  <si>
    <t>다양한 사례에서 작용하는 힘과 힘의 평형 관계를 설명하고, 일상생활에서 힘의 특징을 이용한 기구나 장치를 설계할 수 있다.</t>
  </si>
  <si>
    <t>바닥에 놓인 물체에 작용하는 힘을 설명할 때, 중력과 함께 바닥이 물체를 떠받치는 힘을 도입한다.</t>
  </si>
  <si>
    <t>[9과06-01]</t>
  </si>
  <si>
    <t>압력의 의미를 알고, 기체의 압력을 입자의 운동으로 설명할 수 있다.</t>
  </si>
  <si>
    <t>압력의 의미는 일상생활에서 경험할 수 있는 예시로 설명하고, 기체의 압력은 일정한 면적에 입자의 충돌로 가해지는 힘의 수준에서 다룬다.</t>
  </si>
  <si>
    <t>[9과06-02]</t>
  </si>
  <si>
    <t>기체의 압력과 부피 관계를 실험 결과로부터 알아내고, 이를 입자 모형으로 해석할 수 있다.</t>
  </si>
  <si>
    <t>기체의 압력과 부피, 기체의 온도와 부피를 측정한 각각의 실험 결과에서 두 변인 간 관계를 찾고 그 이유를 입자 모형으로 설명한다.</t>
  </si>
  <si>
    <t>[9과06-03]</t>
  </si>
  <si>
    <t>기체의 온도와 부피 관계를 실험 결과로부터 알아내고, 이를 입자 모형으로 해석할 수 있다.</t>
  </si>
  <si>
    <t>[9과07-01]</t>
  </si>
  <si>
    <t>태양계를 구성하는 천체의 특징을 알고, 행성을 목성형 행성과 지구형 행성으로 구분할 수 있다.</t>
  </si>
  <si>
    <t>태양계를 구성하는 천체인 태양, 행성, 왜소행성, 소행성, 위성, 혜성을 개괄적으로 학습하며, 자세한 특징은 다루지 않는다.</t>
  </si>
  <si>
    <t>[9과07-02]</t>
  </si>
  <si>
    <t>태양의 표면과 대기에서 일어나는 현상을 알고, 태양의 활동이 지구에 미치는 영향을 추론할 수 있다.</t>
  </si>
  <si>
    <t>[9과07-03]</t>
  </si>
  <si>
    <t>지구 자전에 의한 천체의 겉보기 운동과 지구 공전에 의한 별자리 변화를 이해하고, 밤하늘 천체에 호기심을 가진다.</t>
  </si>
  <si>
    <t>관측자의 위치(고위도, 저위도, 중위도)에 따른 일주운동은 다루지 않는다. 지구의 자전과 공전을 우주에서 바라보는 관점으로 설명한다.</t>
  </si>
  <si>
    <t>[9과07-04]</t>
  </si>
  <si>
    <t>달을 관측하여 달의 위상변화 원리를 이해하고, 일식과 월식을 설명할 수 있다.</t>
  </si>
  <si>
    <t>코일을 통과하는 자기장의 세기가 변할 때 유도되는 전류를 관찰하여 전자기 유도 현상을 정성적으로 이해하고, 이를 이용한 간이 발전기를 만들어 발전소에서 전기 에너지를 만드는 방법을 설명한다.</t>
  </si>
  <si>
    <t>[9과08-01]</t>
  </si>
  <si>
    <t>물질의 특성의 의미를 알고, 실험을 통해 밀도, 용해도, 녹는점, 끓는점 등을 설명할 수 있다.</t>
  </si>
  <si>
    <t>물질의 특성은 특정한 조건에서 항상 일정한 값을 가지며 물질의 양에 따라 달라지지 않는 것으로 물질을 구분하는 중요한 정보가 됨을 이해하고, 그 사례로 밀도, 용해도, 녹는점, 끓는점 등이 있음을 다룬다.</t>
  </si>
  <si>
    <t>[9과08-02]</t>
  </si>
  <si>
    <t>물질의 특성을 근거로 우리 주변의 물질을 순물질과 혼합물로 분류할 수 있다.</t>
  </si>
  <si>
    <t>[9과08-03]</t>
  </si>
  <si>
    <t>물질의 특성을 이용하여 혼합물이 분리되는 원리를 이해하고, 이를 이용한 사례를 주변에서 찾을 수 있다.</t>
  </si>
  <si>
    <t>과학 실험, 기상 관측, 유전체 분석, 신약 개발 등과 같은 분야에서 많은 정보를 디지털 형태로 전환하여 대량의 데이터를 축적할 수 있게 되면서, 일상생활의 다양한 분야에서 폭넓게 활용할 수 있음을 소개한다.</t>
  </si>
  <si>
    <t>[9과09-01]</t>
  </si>
  <si>
    <t>지구계의 구성 요소를 알고, 지권의 층상 구조와 그 특징을 조사⋅발표할 수 있다.</t>
  </si>
  <si>
    <t>지구계의 구성 요소 및 지권을 구성하는 각 층의 명칭과 상태만 다루며, 지구 내부구조 탐사에서 지진파의 특성은 다루지 않는다.</t>
  </si>
  <si>
    <t>[9과09-02]</t>
  </si>
  <si>
    <t>조암 광물의 주요 특성을 관찰하고, 암석과 광물의 활용 방안 및 자원으로서 가치에 대해 조사할 수 있다.</t>
  </si>
  <si>
    <t>광물의 특성은 색, 조흔색, 굳기, 염산 반응, 자성만 다루고, 굳기는 방해석과 석영 정도만 비교하여 제시한다.</t>
  </si>
  <si>
    <t>[9과09-03]</t>
  </si>
  <si>
    <t>지각을 이루는 암석을 생성 과정에 따라 분류하고, 암석의 순환 과정을 설명할 수 있다.</t>
  </si>
  <si>
    <t>지각에 분포하는 다양한 암석 중, 화성암은 현무암, 유문암, 화강암, 반려암을, 퇴적암은 이암, 사암, 역암, 석회암을, 변성암은 편암, 편마암, 대리암, 규암만을 대표적으로 다룬다.</t>
  </si>
  <si>
    <t>[9과09-04]</t>
  </si>
  <si>
    <t>풍화 과정을 이해하고, 토양 생성 과정을 풍화 작용의 예로 설명할 수 있다.</t>
  </si>
  <si>
    <t>과학자들의 꾸준한 노력과 함께 과학자의 우연한 발견 등을 통한 과학 지식 도출과 과학 지식의 잠정성 등 다양한 사례를 통해 과학의 본성을 체험할 기회를 제공하고, 우리 선조들의 과학 기술 발전의 사례도 찾아본다.</t>
  </si>
  <si>
    <t>[9과09-05]</t>
  </si>
  <si>
    <t>대륙이동설을 이해하고, 지진과 화산이 발생하는 지역의 분포를 판의 경계와 관련지어 설명할 수 있다.</t>
  </si>
  <si>
    <t>화산대와 지진대의 분포가 판의 경계와 일치한다는 정도만 다루고, 판의 경계에서 나타나는 다양한 지질학적 특성은 고등학교 ‘지구과학’에서 다룬다.</t>
  </si>
  <si>
    <t>[9과10-01]</t>
  </si>
  <si>
    <t>빛의 반사와 굴절의 원리를 이해하고, 물체를 보는 과정을 빛의 경로를 이용하여 표현할 수 있다.</t>
  </si>
  <si>
    <t>실험을 통해 빛의 반사, 굴절의 특징을 확인하고, 굴절 법칙은 정량적으로 다루지 않는다.</t>
  </si>
  <si>
    <t>[9과10-02]</t>
  </si>
  <si>
    <t>평면거울에서 상이 생기는 원리를 설명하고, 일상생활에서 사용되는 거울과 렌즈의 종류를 분류하고 상의 특징을 비교할 수 있다.</t>
  </si>
  <si>
    <t>상이 생기는 원리는 평면거울에 의한 상만을 빛의 반사 법칙을 적용하여 이해하도록 한다. 다양한 거울과 렌즈에 의해 생기는 상의 위치나 크기를 정량적으로 계산하거나 실상과 허상을 구분하는 활동은 하지 않고, 정성적인 특징을 다양한 예를 통해 비교하도록 한다.</t>
  </si>
  <si>
    <t>[9과10-03]</t>
  </si>
  <si>
    <t>물체의 색을 빛의 반사와 관련지어 설명하고, 영상 장치에서 빛의 합성을 이용하여 다양한 색이 표현되는 원리를 이해할 수 있다.</t>
  </si>
  <si>
    <t>[9과10-04]</t>
  </si>
  <si>
    <t>파동의 발생과 전달 과정을 이해하고, 소리의 특성을 진폭, 진동수, 파형 등의 과학적 용어로 표현할 수 있다.</t>
  </si>
  <si>
    <t>소리는 파동의 일종으로 매질을 통해 전달됨을 설명하고, 다양한 소리의 파형을 비교하여 파동의 진폭, 진동수, 파장의 개념을 설명하도록 한다. 종파와 횡파를 구분하여 설명하지는 않는다.</t>
  </si>
  <si>
    <t>[9과11-01]</t>
  </si>
  <si>
    <t>원소와 화합물의 정의를 알고, 원소와 화합물을 화학식으로 표현할 수 있다.</t>
  </si>
  <si>
    <t>‘통합과학1’과 ‘통합과학2'에 제시된 일상생활과 관련된 탐구 주제 및 활동을 중심으로 사회적 현상과 이슈에서 문제를 찾고, 연구 윤리와 안전 사항을 준수하여 과학 탐구의 전체 과정을 수행하며, 해결책을 다양한 표상을 통해 산출하도록 한다.</t>
  </si>
  <si>
    <t>[9과11-02]</t>
  </si>
  <si>
    <t>원소를 구성하는 입자인 원자는 양성자, 중성자, 전자로 구성되며, 양성자의 수에 따라 원소의 종류가 달라짐을 입자 모형을 활용하여 설명할 수 있다.</t>
  </si>
  <si>
    <t>질량수나 동위 원소는 다루지 않는다.</t>
  </si>
  <si>
    <t>[9과11-03]</t>
  </si>
  <si>
    <t>원소는 양성자의 수에 따라 주기율표에 배치됨을 알고, 주기율표에서 성질이 유사한 원소를 찾을 수 있다.</t>
  </si>
  <si>
    <t>동족 원소의 유사성은 1족 원소의 물과의 반응성, 18족 원소의 안정성 등 비슷한 성질을 지닌 원소들이 있음을 탐구를 통해 추론하고, 각 반응에 관한 구체적 설명이나 원리 및 원소의 주기성은 다루지 않는다.</t>
  </si>
  <si>
    <t>[9과11-04]</t>
  </si>
  <si>
    <t>물질을 이루는 입자는 원자, 분자, 이온 등으로 존재할 수 있음을 알고, 이온은 전하를 띠고 있음을 설명할 수 있다.</t>
  </si>
  <si>
    <t>이온의 경우 원자가 전기적으로 중성임을 토대로 전자를 잃으면 양이온이 되고, 전자를 얻으면 음이온이 된다는 수준에서 다룬다.</t>
  </si>
  <si>
    <t>[9과12-01]</t>
  </si>
  <si>
    <t>광합성 과정을 이해하고, 환경 요인과 광합성의 관계를 탐구하는 실험을 설계할 수 있다.</t>
  </si>
  <si>
    <t>자원탐사 및 정주 공간 확보를 위한 우주개발 사례 조사 등의 활동을 통해 미래 과학기술의 발전 방향, 과학기술 이용과 관련된 환경정의, 안전 사항을 점검할 기회를 제공한다.</t>
  </si>
  <si>
    <t>[9과12-02]</t>
  </si>
  <si>
    <t>식물의 호흡과 광합성의 관계를 이해하고, 호흡과 광합성 과정에서 출입하는 에너지와 물질의 변화를 분석할 수 있다.</t>
  </si>
  <si>
    <t>일상생활에서 접할 수 있는 다양한 상황에서 돌림힘을 적용하되, 동역학적 상황이나 돌림힘의 기준점이 2개 이상이 되는 등 현실에서 찾기 힘든 복잡한 상황은 다루지 않는다.</t>
  </si>
  <si>
    <t>[9과12-03]</t>
  </si>
  <si>
    <t>광합성 산물의 저장과 이용 과정을 이해하고, 모형으로 설명할 수 있다.</t>
  </si>
  <si>
    <t>광합성 결과 만들어진 산물은 생명 활동에 필요한 에너지원임을 강조하여 다룬다.</t>
  </si>
  <si>
    <t>[9과13-01]</t>
  </si>
  <si>
    <t>소화계의 구조와 기능을 이해하고, 소화 과정을 소화 효소의 작용과 관련지어 추론할 수 있다.</t>
  </si>
  <si>
    <t>소화 기관에서 일어나는 소화 과정은 아밀레이스, 펩신, 트립신, 라이페이스 등 대표적인 몇 가지 소화 효소 중심으로 간단하게 언급한다.</t>
  </si>
  <si>
    <t>[9과13-02]</t>
  </si>
  <si>
    <t>순환계의 구조와 기능을 이해하고, 혈액의 순환 경로를 종합하여 발표할 수 있다.</t>
  </si>
  <si>
    <t>역학적 에너지 보존의 예로 지표 근처의 중력에 의한 위치 에너지와 탄성력에 의한 위치 에너지를 포함한다.</t>
  </si>
  <si>
    <t>[9과13-03]</t>
  </si>
  <si>
    <t>호흡계의 구조와 기능을 이해하고, 호흡 운동의 원리를 나타내는 모형을 만들 수 있다.</t>
  </si>
  <si>
    <t>열역학 과정을 명시적으로 다루지 않고, 열의 형태로 에너지가 전환되면서 발생하는 다양한 현상으로 열전달, 물질의 상태 변화, 기상 현상 등 중학교 과정에서 다룬 내용을 정성적으로 설명한다.</t>
  </si>
  <si>
    <t>[9과13-04]</t>
  </si>
  <si>
    <t>배설계의 구조와 기능을 이해하고, 노폐물이 배설되는 과정을 모식도로 표현할 수 있다.</t>
  </si>
  <si>
    <t>[9과13-05]</t>
  </si>
  <si>
    <t>동물이 세포호흡을 통해 에너지를 얻는 과정을 소화, 순환, 호흡, 배설과 관련지어 통합적으로 설명할 수 있다.</t>
  </si>
  <si>
    <t>각 기관계의 구조와 기능에 대한 자세한 언급보다는 에너지를 얻기 위한 통합적 관계에 중점을 두고 다룬다.</t>
  </si>
  <si>
    <t>[9과14-01]</t>
  </si>
  <si>
    <t>마찰 전기, 정전기 유도 현상을 관찰하고, 이를 전기력과 원자 모형을 이용하여 설명할 수 있다.</t>
  </si>
  <si>
    <t>저항의 연결에 따른 차이를 설명하는 사례로 가정에서 여러 개의 전기 제품을 병렬연결하여 사용하는 상황 등을 제시하고, 전기 안전과 연관지어 안전한 전기 사용 방안을 도출하도록 한다.</t>
  </si>
  <si>
    <t>[9과14-02]</t>
  </si>
  <si>
    <t>전기 회로에서 전류를 모형으로 설명하고, 실험을 통해 저항, 전류, 전압 사이의 관계를 이끌어낼 수 있다.</t>
  </si>
  <si>
    <t>일상생활에 활용되는 다양한 물질의 저항이 다름을 도체와 부도체의 예를 들어 설명하고, 반도체를 소개한다.</t>
  </si>
  <si>
    <t>[9과14-03]</t>
  </si>
  <si>
    <t>저항의 직렬연결과 병렬연결의 특징을 비교하고, 일상생활에서 전기 에너지가 다양한 형태의 에너지로 전환됨을 소비 전력과 관련지어 설명할 수 있다.</t>
  </si>
  <si>
    <t>저항의 연결에 따른 합성 저항의 정량적인 계산과 혼합 연결은 다루지 않는다. 소비 전력은 정량적인 계산보다는 에너지 전환 관점에서 다루도록 하고, 효율적인 전기 사용의 중요성을 인식하도록 한다.</t>
  </si>
  <si>
    <t>[9과14-04]</t>
  </si>
  <si>
    <t>자기장 안에 놓인 전류가 흐르는 코일이 받는 힘의 특성을 추리하고, 전동기 등 일상생활에서 활용한 예를 찾을 수 있다.</t>
  </si>
  <si>
    <t>코일을 이용하여 전류의 세기와 방향에 따른 자기장의 세기와 방향을 정성적으로 확인하고, 전류가 흐르는 코일과 자석의 상호작용 관점에서 전동기의 원리를 이해하도록 한다.</t>
  </si>
  <si>
    <t>[9과15-01]</t>
  </si>
  <si>
    <t>연주시차를 이용하여 별까지의 거리를 구할 수 있고, 별의 등급과 밝기의 관계 및 표면 온도와 색의 관계를 설명할 수 있다.</t>
  </si>
  <si>
    <t>별까지의 거리를 구하는 방법은 수식을 도입하지 않으며, 연주시차와 겉보기 등급과 절대등급의 개념을 중심으로 다룬다. 별의 표면 온도는 별의 색을 이용하여 비교하는 수준으로만 다룬다.</t>
  </si>
  <si>
    <t>[9과15-02]</t>
  </si>
  <si>
    <t>우리은하의 구조와 크기를 이해하고, 성운과 성단의 특징을 비교할 수 있다.</t>
  </si>
  <si>
    <t>[9과15-03]</t>
  </si>
  <si>
    <t>모형을 이용하여 우주가 팽창하고 있음을 설명할 수 있다.</t>
  </si>
  <si>
    <t>우주 팽창과 관련된 심화 내용(적색 편이, 허블 법칙, 가속 팽창 등)은 다루지 않는다.</t>
  </si>
  <si>
    <t>[9과15-04]</t>
  </si>
  <si>
    <t>우주탐사의 의의와 인류에게 미치는 영향을 조사하여 과학의 유용성을 인식할 수 있다.</t>
  </si>
  <si>
    <t>[9과16-01]</t>
  </si>
  <si>
    <t>물리 변화와 화학 변화의 의미를 알고, 화학 변화에서 새로운 물질이 생성됨을 관찰할 수 있다.</t>
  </si>
  <si>
    <t>수소 선스펙트럼 결과를 바탕으로 보어(Bohr)의 수소 원자 모형을 제시하고, 보어 모형의 한계를 언급한다.</t>
  </si>
  <si>
    <t>[9과16-02]</t>
  </si>
  <si>
    <t>간단한 화학 반응을 화학 반응식으로 표현하고, 화학 반응식에서 계수의 비를 입자 수의 비로 해석할 수 있다.</t>
  </si>
  <si>
    <t>반도체 소자의 원리를 설명하는 사례로 p-n 접합과 다이오드를 다룬다.</t>
  </si>
  <si>
    <t>[9과16-03]</t>
  </si>
  <si>
    <t>화학 반응에서 질량이 보존됨을 실험을 통해 추론할 수 있다.</t>
  </si>
  <si>
    <t>화학 반응이 일어날 때 물질을 구성하는 원자의 배열만 변하고, 원자의 종류와 수는 변하지 않음을 강조하여 설명한다.</t>
  </si>
  <si>
    <t>[9과16-04]</t>
  </si>
  <si>
    <t>화합물을 구성하는 성분 원소의 질량비가 일정함을 실험 자료를 해석하여 설명할 수 있다.</t>
  </si>
  <si>
    <t>마찰력, 장력, 수직항력 등 물체에 작용하는 여러 가지 힘은 2차원 평면상에서 작용하는 힘으로만 다루도록 제한하고, 벡터의 합성을 통해 힘의 합력을 구하여 물체의 운동 예측에 활용할 수 있게 한다.</t>
  </si>
  <si>
    <t>[9과16-05]</t>
  </si>
  <si>
    <t>기체 반응에서 기체 부피 사이의 비가 일정함을 실험 자료를 해석하여 설명할 수 있다.</t>
  </si>
  <si>
    <t>[9과16-06]</t>
  </si>
  <si>
    <t>화학 반응에서 열에너지가 출입함을 알고, 생활 속 사례를 조사하여 발표할 수 있다.</t>
  </si>
  <si>
    <t>[9과17-01]</t>
  </si>
  <si>
    <t>지구 대기권을 4개 권역으로 구분하며, 온실효과와 지구온난화를 복사 평형의 관점으로 설명할 수 있다.</t>
  </si>
  <si>
    <t>태양과 행성 사이의 중력이 구심력이 됨을 이용하여 케플러 법칙을 설명할 수 있으며, 이러한 과학적 사고가 중력의 존재를 설명하는 데 과학사적으로 활용되었음을 이해하게 한다. 인공위성과 천체의 운동은 원운동에만 한정하여 정량적으로 설명하게 하며, 타원 운동에 대한 정량적인 설명은 도입하지 않는다.</t>
  </si>
  <si>
    <t>[9과17-02]</t>
  </si>
  <si>
    <t>대기 대순환에서 위도별 바람의 특성을 파악하고, 대기 대순환의 역할을 설명할 수 있다.</t>
  </si>
  <si>
    <t>위도별로 지상에서 부는 바람은 북반구를 기준으로 설명하고, 대기 대순환 설명 시 전향력이나 지구가 자전하지 않을 경우는 다루지 않는다.</t>
  </si>
  <si>
    <t>[9과17-03]</t>
  </si>
  <si>
    <t>상대습도, 단열 팽창 및 응결 현상의 관계를 이해하고, 구름의 생성과 강수 과정을 설명할 수 있다.</t>
  </si>
  <si>
    <t>대기 중의 수증기량과 이슬점, 포화 수증기압, 상대습도 등의 관계를 파악하고, 구름의 생성은 모형실험으로 다룬다. 강수 과정은 빙정설과 병합설에 대해 정성적으로 간단하게 설명한다.</t>
  </si>
  <si>
    <t>[9과17-04]</t>
  </si>
  <si>
    <t>기압, 기단, 전선의 개념을 이해하고, 일기도에서 저기압과 고기압의 분포에 따른 날씨를 해석할 수 있다.</t>
  </si>
  <si>
    <t>기압의 개념과 크기 및 지표면의 차등 가열에 따른 온도 차이로 인해 기압의 변화가 생겨서 바람이 분다는 것을 다룬다. 등압선 그리기, 일기 예보의 과정, 일기도 작성은 다루지 않는다.</t>
  </si>
  <si>
    <t>[9과18-01]</t>
  </si>
  <si>
    <t>수권에서 해수, 담수, 빙하의 분포와 활용 사례를 조사하고, 자원으로서 물의 가치에 대해 토론할 수 있다.</t>
  </si>
  <si>
    <t>자원으로서의 물의 가치에서는 지하수의 가치와 활용 방안, 지속가능한 수자원 활용 방안 조사⋅실천 등을 포함하여 다룬다.</t>
  </si>
  <si>
    <t>[9과18-02]</t>
  </si>
  <si>
    <t>해수의 수온과 염분의 분포 및 변화를 해석하여 해수의 특성을 설명할 수 있다.</t>
  </si>
  <si>
    <t>위도에 따른 해수의 연직 수온 분포 차이보다는 우리나라 주변 해역의 계절별 연직 수온 분포를 위주로 다룬다.</t>
  </si>
  <si>
    <t>[9과18-03]</t>
  </si>
  <si>
    <t>대기 대순환과 해양 표층 순환과의 관계를 이해하고, 기후변화에 영향을 미치는 해류의 역할을 설명할 수 있다.</t>
  </si>
  <si>
    <t>해류가 전 지구적인 에너지 재분배를 통하여 기후변화에 미치는 영향을 이해하게 하고, 북태평양의 아열대 순환을 구성하는 해류만을 다룬다.</t>
  </si>
  <si>
    <t>[9과19-01]</t>
  </si>
  <si>
    <t>직선상에서 움직이는 물체의 운동을 그래프로 나타내고 해석할 수 있다.</t>
  </si>
  <si>
    <t>물체의 직선 운동에서 등속 운동과 속력이 일정하게 증가하거나 감소하는 운동을 다루며, 속력이 변하는 경우에는 시간-속력 그래프를 그려서 운동을 분석한다.</t>
  </si>
  <si>
    <t>[9과19-02]</t>
  </si>
  <si>
    <t>자유 낙하하는 물체의 운동에서 시간에 따른 속력의 변화가 일정함을 분석할 수 있다.</t>
  </si>
  <si>
    <t>자유 낙하하는 물체의 운동에서 물체의 종류나 질량에 상관없이 단위 시간당 속력 변화량이 9.8m/s로 일정함을 자료를 분석하여 이끌어내도록 한다.</t>
  </si>
  <si>
    <t>[9과19-03]</t>
  </si>
  <si>
    <t>일의 정의를 알고, 자유 낙하하는 물체의 운동에서 중력이 한 일을 위치 에너지와 운동 에너지로 표현할 수 있다.</t>
  </si>
  <si>
    <t>중력이 한 일은 운동 에너지, 중력에 대해서 한 일은 위치 에너지로 전환됨을 확인한다.</t>
  </si>
  <si>
    <t>[9과19-04]</t>
  </si>
  <si>
    <t>물체의 운동에서 역학적 에너지의 전환과 보존을 이해하고, 이를 활용하여 일상생활 속 물체의 운동을 예측할 수 있다.</t>
  </si>
  <si>
    <t>단진자나 자유 낙하하는 물체 등의 사례에서 역학적 에너지 보존 법칙을 이용해 물체의 운동 상태를 예측할 수 있음을 설명한다.</t>
  </si>
  <si>
    <t>[9과20-01]</t>
  </si>
  <si>
    <t>감각기관의 구조와 기능을 이해하고, 실험을 통해 자극이 뇌로 전달되는 과정을 추론할 수 있다.</t>
  </si>
  <si>
    <t>감각 기관의 구조는 간단히 언급하고, 자극이 감각 기관에서 뇌로 전달되는 과정을 중점적으로 설명한다.</t>
  </si>
  <si>
    <t>[9과20-02]</t>
  </si>
  <si>
    <t>뉴런과 신경계의 구조와 기능을 이해하고, 자극에서 반응이 일어나기까지의 과정을 모형으로 설명할 수 있다.</t>
  </si>
  <si>
    <t>정상파의 특성을 악기를 이용하여 이해하게 하고, 현 또는 관의 길이에 따라 정상파의 파장이 달라짐을 정량적으로 설명할 수 있게 한다.</t>
  </si>
  <si>
    <t>[9과20-03]</t>
  </si>
  <si>
    <t>우리 몸의 기능 조절에 호르몬이 관여함을 알고, 관련 자료를 조사하여 발표할 수 있다.</t>
  </si>
  <si>
    <t>호르몬의 종류는 성장호르몬, 인슐린, 글루카곤, 티록신 정도만 언급하고, 신경계와 호르몬의 작용으로 몸을 최적의 상태로 유지함을 강조하여 설명한다.</t>
  </si>
  <si>
    <t>[9과21-01]</t>
  </si>
  <si>
    <t>개체의 생장에 세포분열이 필요한 이유를 세포의 표면적과 부피의 관계로 추론할 수 있다.</t>
  </si>
  <si>
    <t>[9과21-02]</t>
  </si>
  <si>
    <t>염색체와 유전자의 관계를 이해하고, 체세포분열과 생식세포 형성과정의 특징을 염색체 행동을 중심으로 해석할 수 있다.</t>
  </si>
  <si>
    <t>체세포분열과 생식 세포 형성 과정은 염색체의 행동을 중심으로 간단하게 다루며, 분열 과정의 단순한 암기보다 분열의 생물학적 의미를 이해하는 데 중점을 둔다.</t>
  </si>
  <si>
    <t>[9과21-03]</t>
  </si>
  <si>
    <t>수정란으로부터 개체가 발생하는 과정을 모형으로 표현할 수 있다.</t>
  </si>
  <si>
    <t>발생 과정은 수정란의 초기 발생에서 난할만을 간단하게 다룬다.</t>
  </si>
  <si>
    <t>[9과21-04]</t>
  </si>
  <si>
    <t>멘델 유전 실험의 의의와 원리를 이해하고, 멘델 유전 원리가 적용되는 유전 현상을 조사하여 협력적으로 소통할 수 있다.</t>
  </si>
  <si>
    <t>[9과21-05]</t>
  </si>
  <si>
    <t>사람의 유전 형질과 유전 연구 방법을 알고, 가계도를 분석하여 사람의 유전 현상을 설명할 수 있다.</t>
  </si>
  <si>
    <t>[9과22-01]</t>
  </si>
  <si>
    <t>재해⋅재난 사례와 관련된 자료를 조사하고, 그 발생 원인과 피해에 대해 과학적으로 분석할 수 있다.</t>
  </si>
  <si>
    <t>재해⋅재난에 대한 사례 조사는 감염병 질병 확산, 화학물질 유출, 운송 수단 사고, 지진, 화산, 기상재해 등에서 선택하여 다룬다.</t>
  </si>
  <si>
    <t>[9과22-02]</t>
  </si>
  <si>
    <t>과학적 원리를 이용하여 재해⋅재난에 대한 대비 및 대처 방안을 세울 수 있다.</t>
  </si>
  <si>
    <t>재해⋅재난의 피해를 줄이기 위한 방안을 논의할 때는 사후 대처뿐만 아니라 사전 예방 및 대비를 다룬다.</t>
  </si>
  <si>
    <t>[9과23-01]</t>
  </si>
  <si>
    <t>과학과 관련된 직업의 종류와 하는 일을 조사하고, 과학기술의 발달로 생기는 미래 사회의 직업 변화를 예상할 수 있다.</t>
  </si>
  <si>
    <t>카메라, 망원경, 현미경 등의 광학 기기는 정성적 원리 위주로 다루며, 렌즈, 거울, 프리즘 등이 광학 기기에서 어떻게 활용되며 어떤 원리가 관련되는지를 설명할 수 있도록 지도한다. 수차는 구면수차와 색수차에 대한 용어 도입 없이 정성적으로 다룬다.</t>
  </si>
  <si>
    <t>[9과23-02]</t>
  </si>
  <si>
    <t>자신의 진로와 관련 있는 과학 분야를 조사하고, 진로 선택을 위하여 필요한 과학 학습을 계획할 수 있다.</t>
  </si>
  <si>
    <t>과학과 직접적으로 관련된 직업에서 과학의 역할 뿐만 아니라 기술, 공학, 사회, 예술, 문학 분야 등의 직업에서 필요한 과학 학문을 조사하여, 과학의 중요성과 유용성을 깨닫고 과학 학습 계획을 세우도록 한다.</t>
  </si>
  <si>
    <t>[10통과1-01-01]</t>
  </si>
  <si>
    <t>자연을 시간과 공간에서 기술할 수 있음을 알고, 길이와 시간 측정의 현대적 방법과 다양한 규모의 측정 사례를 조사할 수 있다.</t>
  </si>
  <si>
    <t>원자와 우주를 시간과 공간 차원에서 비교하면서 규모(scale)의 의미와 필요성을 소개하고, 시간과 공간을 측정하려는 과학자들의 노력이 인간의 경험 범위를 얼마나 확장했는지를 설명한다.</t>
  </si>
  <si>
    <t>[10통과1-01-02]</t>
  </si>
  <si>
    <t>과학 탐구에서 중요한 기본량의 의미를 알고, 자연 현상을 기술하는 데 단위가 가지는 의미와 적용사례를 설명할 수 있다.</t>
  </si>
  <si>
    <t>과학의 기본량으로 시간, 길이, 질량, 전류, 온도 등 초⋅중학교 과학 교과에서 이미 학습한 내용을 중심으로 다루며, 부피, 속력, 농도 등과 같은 초⋅중⋅고등학교 과학 교과의 주요 과학 개념들이 이러한 기본량으로부터 도출됨을 설명한다.</t>
  </si>
  <si>
    <t>[10통과1-01-03]</t>
  </si>
  <si>
    <t>과학 탐구에서 측정과 어림의 의미를 알고, 일상생활의 여러 가지 상황에서 측정 표준의 유용성과 필요성을 논증할 수 있다.</t>
  </si>
  <si>
    <t>드브로이 관계식을 바탕으로 단일 전자나 광자 수준의 이중 슬릿 실험에서 나타나는 입자-파동 이중성의 기묘함을 학생들이 인식할 수 있도록 정성적으로 다룬다.</t>
  </si>
  <si>
    <t>[10통과1-01-04]</t>
  </si>
  <si>
    <t>자연에서 일어나는 다양한 변화를 측정⋅분석하여 정보를 산출함을 알고, 이러한 정보를 디지털로 변환하는 기술을 정보 통신에 활용하여 현대 문명에 미친 영향을 인식한다.</t>
  </si>
  <si>
    <t>인간을 둘러싼 자연계의 변화가 전달될 때 신호가 되고, 이를 측정하여 분석할 때 정보가 됨을 다룬다. 센서를 통해 아날로그 형태의 다양한 신호가 전기 신호로 바뀌어 디지털 정보가 됨을 소개하며, 센서의 작동 원리는 다루지 않는다.</t>
  </si>
  <si>
    <t>[10통과1-02-01]</t>
  </si>
  <si>
    <t>천체에서 방출되는 빛의 스펙트럼을 분석하여 우주 초기에 형성된 원소와 천체의 구성 물질을 추론할 수 있다.</t>
  </si>
  <si>
    <t>[10통과1-02-02]</t>
  </si>
  <si>
    <t>우주 초기의 원소들로부터 태양계의 재료이면서 생명체를 구성하는 원소들이 형성되는 과정을 통해 지구와 생명의 역사가 우주 역사의 일부분임을 해석할 수 있다.</t>
  </si>
  <si>
    <t>[10통과1-02-03]</t>
  </si>
  <si>
    <t>세상을 구성하는 원소들의 성질이 주기성을 나타내는 현상을 통해 자연의 규칙성을 도출하고, 지구와 생명체를 구성하는 주요 원소들이 결합을 형성하는 이유를 해석할 수 있다.</t>
  </si>
  <si>
    <t>주기율표의 1족과 17족 원소를 통해 동족 원소는 유사한 화학적 성질을 가진다는 것을 다룬다. 주요 원소들이 화학 결합을 형성하는 이유를 전자껍질 모형을 이용한 전자배치를 통해 안정성을 지닌 원소와 비교하여 설명한다.</t>
  </si>
  <si>
    <t>[10통과1-02-04]</t>
  </si>
  <si>
    <t>인류의 생존에 필수적인 물, 산소, 소금 등이 만들어지는 결합의 차이를 이해하고 각 물질의 성질과 관련지어 설명할 수 있다.</t>
  </si>
  <si>
    <t>[10통과1-02-05]</t>
  </si>
  <si>
    <t>지각과 생명체를 구성하는 물질들이 기본 단위체의 결합을 통해서 형성된다는 것을 규산염 광물, 단백질과 핵산의 예를 통해 설명할 수 있다.</t>
  </si>
  <si>
    <t>지각을 구성하는 규산염 광물은 Si–O 사면체를 기본 골격으로 하여 다양한 광물들이 만들어짐을 다루되, 구체적인 구조식이나 화학식은 다루지 않는다. 일정한 구조를 가진 기본 단위체들의 다양한 배열을 통해 여러 가지 구조와 기능을 갖는 생명체의 주요 구성 물질이 생성될 수 있음을 단백질과 핵산을 중심으로 학습하고, 기본 단위체를 비롯한 단백질과 핵산의 구체적인 구조식이나 화학식은 다루지 않는다.</t>
  </si>
  <si>
    <t>[10통과1-02-06]</t>
  </si>
  <si>
    <t>지구를 구성하는 물질을 전기적 성질에 따라 구분할 수 있고, 물질의 전기적 성질을 응용하여 일상생활과 첨단기술에서 다양한 소재로 활용됨을 인식한다.</t>
  </si>
  <si>
    <t>지구를 구성하는 여러 물질을 원자 내 자유전자의 이동에 따라 도체, 부도체, 반도체로 구분할 수 있고, 특히 규산염 광물이 반도체 소자의 재료가 되어 현대 사회에서 매우 유용하게 활용됨을 소개한다. 이때 반도체의 원리는 불순물을 추가함에 따라 전기적 성질을 제어하기 쉽다는 수준으로 소개하고 접합 원리는 다루지 않는다.</t>
  </si>
  <si>
    <t>[10통과1-03-01]</t>
  </si>
  <si>
    <t>지구시스템은 태양계라는 시스템의 구성요소임을 알고, 지구시스템을 구성하는 권역들 간의 물질 순환과 에너지 흐름의 결과로 나타나는 현상을 논증할 수 있다.</t>
  </si>
  <si>
    <t>[10통과1-03-02]</t>
  </si>
  <si>
    <t>지권의 변화를 판구조론 관점에서 해석하고, 에너지 흐름의 결과로 발생하는 지권의 변화가 지구시스템에 미치는 영향을 추론할 수 있다.</t>
  </si>
  <si>
    <t>[10통과1-03-03]</t>
  </si>
  <si>
    <t>중력의 작용으로 인한 지구 표면과 지구 주위의 다양한 운동을 설명할 수 있다.</t>
  </si>
  <si>
    <t>지구 표면을 향해 낙하하거나 지구 주위를 공전하는 원운동은 모두 중력에 의한 지구 중심 방향의 가속도 운동임을 설명한다.</t>
  </si>
  <si>
    <t>[10통과1-03-04]</t>
  </si>
  <si>
    <t>상호작용이 없을 때 물체가 가속되지 않음을 알고, 충격량과 운동량의 관계를 충돌 관련 안전장치와 스포츠에 적용할 수 있다.</t>
  </si>
  <si>
    <t>일상생활의 역학 시스템에서 물체의 관성 및 충돌에 의한 안전사고 예방을 위한 대비책 및 장치를 고안할 때 관성 법칙과 충격량을 활용하게 한다.</t>
  </si>
  <si>
    <t>[10통과1-03-05]</t>
  </si>
  <si>
    <t>생명 시스템을 유지하기 위해서 다양한 화학 반응과 물질 출입이 필요함을 이해하고, 일상생활에서 활용되는 화학 반응 사례를 조사하여 발표할 수 있다.</t>
  </si>
  <si>
    <t>생명 시스템의 기본 단위인 세포에서 일어나는 화학 반응에 효소가 필요하고, 세포막을 통한 선택적 투과를 통해 물질 출입이 일어남을 학습한다.</t>
  </si>
  <si>
    <t>[10통과1-03-06]</t>
  </si>
  <si>
    <t>생명 시스템의 유지에 필요한 세포 내 정보의 흐름을 유전자로부터 단백질이 만들어지는 과정을 중심으로 설명할 수 있다.</t>
  </si>
  <si>
    <t>전사와 번역을 통해 유전물질로부터 단백질이 만들어지는 과정에 대해 학습하고, 생명 시스템의 유지를 위한 세포 내 정보의 흐름이 체계적으로 구성되어 있음을 이해한다.</t>
  </si>
  <si>
    <t>[10통과2-01-01]</t>
  </si>
  <si>
    <t>지질시대를 통해 지구 환경이 끊임없이 변화해 왔으며 이러한 환경 변화가 생물다양성에 미치는 영향을 추론할 수 있다.</t>
  </si>
  <si>
    <t>[10통과2-01-02]</t>
  </si>
  <si>
    <t>변이의 발생과 자연선택 과정을 통해 생물의 진화가 일어나고, 진화의 과정을 통해 생물다양성이 형성되었음을 추론할 수 있다.</t>
  </si>
  <si>
    <t>변이의 발생과 자연선택 과정에 대한 모의실험을 수행하고 다윈의 자연선택설을 중심으로 생물의 진화를 학습한다. 생물다양성을 유전적 다양성, 종 다양성, 생태계 다양성으로 설명하고, 생물다양성을 보전하기 위한 구체적인 사례와 실천 방안을 탐색한다.</t>
  </si>
  <si>
    <t>[10통과2-01-03]</t>
  </si>
  <si>
    <t>자연과 인류의 역사에 큰 변화를 가져온 광합성, 화석 연료 사용, 철의 제련 등에서 공통점을 찾아 산화와 환원을 이해하고, 생활 주변의 다양한 변화를 산화와 환원의 특징과 규칙성으로 분석할 수 있다.</t>
  </si>
  <si>
    <t>산화⋅환원 반응을 산소와 전자의 이동으로 설명하되, 산화수는 다루지 않는다.</t>
  </si>
  <si>
    <t>[10통과2-01-04]</t>
  </si>
  <si>
    <t>대표적인 산⋅염기 물질의 특징을 알고, 산과 염기를 혼합할 때 나타나는 중화 반응을 생활 속에서 이용할 수 있다.</t>
  </si>
  <si>
    <t>산⋅염기 정의는 아레니우스 정의만 다루고, 중화 반응 과정에서의 변화는 용액의 온도 변화와 지시약의 색 변화만을 다룬다.</t>
  </si>
  <si>
    <t>[10통과2-01-05]</t>
  </si>
  <si>
    <t>생활 주변에서 에너지를 흡수하거나 방출하는 현상을 찾아 에너지의 흡수 방출이 우리 생활에 어떻게 이용되는지 토의할 수 있다.</t>
  </si>
  <si>
    <t>화학 반응의 열 출입에서 열화학 반응식, 엔탈피를 다루지 않는다.</t>
  </si>
  <si>
    <t>[10통과2-02-01]</t>
  </si>
  <si>
    <t>생태계 구성요소를 이해하고 생물과 환경 사이의 상호 관계를 설명할 수 있다.</t>
  </si>
  <si>
    <t>생태계 구성요소들이 서로 영향을 주고받음을 생물과 환경 사이의 상호 관계를 중심으로 학습한다.</t>
  </si>
  <si>
    <t>[10통과2-02-02]</t>
  </si>
  <si>
    <t>먹이 관계와 생태 피라미드를 중심으로 생태계 평형이 유지되는 과정을 이해하고, 환경의 변화가 생태계에 미칠 수 있는 영향에 대해 협력적으로 소통할 수 있다.</t>
  </si>
  <si>
    <t>[10통과2-02-03]</t>
  </si>
  <si>
    <t>온실효과 강화로 인한 지구온난화의 메커니즘을 이해하고, 엘니뇨, 사막화 등과 같은 현상이 지구 환경과 인간 생활에 미치는 영향과 대처 방안을 분석할 수 있다.</t>
  </si>
  <si>
    <t>핵발전소 가동 연장이나 자동차의 안전성 논란 등 과학과 관련된 사회적 쟁점의 사례를 조사하여 대중의 과학적 시각과 균형적인 가치 판단이 중요함을 깨닫도록 한다.</t>
  </si>
  <si>
    <t>[10통과2-02-04]</t>
  </si>
  <si>
    <t>태양에서 수소 핵융합 반응을 통해 질량 일부가 에너지로 바뀌고, 그중 일부가 지구에서 에너지 흐름을 일으키며 다양한 에너지로 전환되는 과정을 추론할 수 있다.</t>
  </si>
  <si>
    <t>태양에서 수소가 헬륨으로 핵융합하는 과정에서 질량이 줄어서 태양 에너지가 생성됨을 정성적으로만 다룬다.</t>
  </si>
  <si>
    <t>[10통과2-02-05]</t>
  </si>
  <si>
    <t>발전기에서 운동 에너지가 전기 에너지로 전환되는 과정을 이해하고, 열원으로서 화석 연료, 핵에너지를 이용하는 발전소가 인간 생활에 미치는 영향을 조사⋅발표할 수 있다.</t>
  </si>
  <si>
    <t>[10통과2-02-06]</t>
  </si>
  <si>
    <t>에너지 효율의 의미와 중요성을 이해하고, 지속가능한 발전과 지구 환경 문제 해결에 신재생 에너지 기술을 활용하는 방안을 탐색할 수 있다.</t>
  </si>
  <si>
    <t>에너지가 다양한 형태로 존재하고, 에너지가 다른 형태로 전환되는 과정에서 에너지의 총량이 보존됨을 일상생활의 사례 중심으로 설명한다. 에너지가 사용되는 과정에서 열이 발생하며 특히 화석 연료의 사용 과정에서 버려지는 열에너지로 인해 에너지 이용의 효율이 낮아진다는 것을 설명한다.</t>
  </si>
  <si>
    <t>[10통과2-03-01]</t>
  </si>
  <si>
    <t>감염병의 진단, 추적 등을 사례로 과학의 유용성을 설명하고, 미래 사회 문제 해결에서 과학의 필요성에 대해 논증할 수 있다.</t>
  </si>
  <si>
    <t>[10통과2-03-02]</t>
  </si>
  <si>
    <t>빅데이터를 과학기술사회에서 사용하고 있는 사례를 조사하고, 빅데이터 활용의 장점과 문제점을 추론할 수 있다.</t>
  </si>
  <si>
    <t>[10통과2-03-03]</t>
  </si>
  <si>
    <t>인공지능 로봇, 사물인터넷 등과 같이 과학기술의 발전을 인간 삶과 환경 개선에 활용하는 사례를 찾고, 이러한 과학기술의 발전이 미래 사회에 미치는 유용성과 한계를 예측할 수 있다.</t>
  </si>
  <si>
    <t>극한 기상 현상은 슈퍼 태풍이나 메가 가뭄과 같은 대표적인 사례들을 중심으로 다룬다.</t>
  </si>
  <si>
    <t>[10통과2-03-04]</t>
  </si>
  <si>
    <t>과학기술의 발전 과정에서 발생할 수 있는 과학 관련 사회적 쟁점(SSI)과 과학기술 이용에서 과학 윤리의 중요성에 대해 논증할 수 있다.</t>
  </si>
  <si>
    <t>기후변화 시나리오에 따른 생물의 분포 변화와 관련된 다양한 보고서나 자료들을 안내하고, 자기주도적으로 자료를 분석하고 해석한 후 토론이나 발표를 하도록 한다.</t>
  </si>
  <si>
    <t>[10과탐1-01-01]</t>
  </si>
  <si>
    <t>과학사에서 패러다임의 전환을 가져온 결정적 실험을 따라 해보고, 과학의 발전 과정에 관해 설명할 수 있다.</t>
  </si>
  <si>
    <t>과학사에서 패러다임의 전환을 가져온 대표적 사례로 갈릴레이가 수행했던 다양한 형태의 실험을 ‘통합과학1’과 ‘통합과학2'에서 다룬 탐구 활동 및 주제와 관련지어 수행해본다.</t>
  </si>
  <si>
    <t>[10과탐1-01-02]</t>
  </si>
  <si>
    <t>과학사의 다양한 사례들로부터 과학의 본성을 추론할 수 있다.</t>
  </si>
  <si>
    <t>[10과탐1-02-01]</t>
  </si>
  <si>
    <t>직접적인 관찰을 통한 탐구를 수행하고, 귀납적 탐구 방법을 설명할 수 있다.</t>
  </si>
  <si>
    <t>과학사의 다양한 사례를 중심으로 귀납적 탐구와 연역적 탐구 등을 다룬다.</t>
  </si>
  <si>
    <t>[10과탐1-02-02]</t>
  </si>
  <si>
    <t>가설 설정을 포함한 과학사의 대표적인 탐구실험을 수행하고, 연역적 탐구 방법의 특징을 예증할 수 있다.</t>
  </si>
  <si>
    <t>과학사의 다양한 사례를 중심으로 귀납적 탐구와 연역적 탐구 등을 다룬다. ‘과학탐구실험1’에서 제시한 탐구 활동과 연계하여 귀납적 탐구 및 연역적 탐구를 학생들이 직접 수행함으로써 과학 지식의 변천 과정을 체험하게 한다.</t>
  </si>
  <si>
    <t>[10과탐1-02-03]</t>
  </si>
  <si>
    <t>탐구 수행에서 얻은 정성적 혹은 정량적 데이터를 분석하고 그 결과를 다양하게 표상하고 소통할 수 있다.</t>
  </si>
  <si>
    <t>[10과탐1-02-04]</t>
  </si>
  <si>
    <t>흥미와 호기심을 갖고 과학 탐구에 참여하고, 분야 간 협동 연구 등을 통해 협력적 탐구 활동을 수행하며, 도출한 결과를 증거에 근거하여 해석하고 평가할 수 있다.</t>
  </si>
  <si>
    <t>[10과탐2-01-01]</t>
  </si>
  <si>
    <t>영화, 건축, 요리, 스포츠, 미디어 등 생활 속의 과학 원리를 실험 등을 통해 탐구하고, 과학 원리를 활용한 놀이 체험을 통해 과학의 즐거움과 유용성을 느낄 수 있다.</t>
  </si>
  <si>
    <t>과학이 적용된 생활 제품, 영화, 건축, 요리, 스포츠, 미디어, 놀이 체험 등의 다양한 분야에서 몇 가지 사례를 중심으로 과학적 원리, 유용성과 가치, 즐거움 등을 깨달을 수 있는 탐구와 실험 활동을 진행한다.</t>
  </si>
  <si>
    <t>[10과탐2-01-02]</t>
  </si>
  <si>
    <t>사회적 이슈나 생활 속에서 과학 탐구 문제를 발견하고, 이를 해결하기 위한 과학 탐구 활동을 계획하고 수행할 수 있다.</t>
  </si>
  <si>
    <t>[10과탐2-01-03]</t>
  </si>
  <si>
    <t>과학 개념을 적용하여 실생활 문제의 해결방안을 창의적으로 고안하고, 필요한 도구를 설계⋅제작할 수 있다.</t>
  </si>
  <si>
    <t>‘운동 관련 안전사고 예방 장치 고안하기’ 탐구 활동을 통해 협업의 가치를 깨닫고, 과학 탐구 전체 과정을 경험하여 공학적 설계 과정을 거쳐 창의적인 산출물을 고안하게 한다.</t>
  </si>
  <si>
    <t>[10과탐2-02-01]</t>
  </si>
  <si>
    <t>첨단 과학기술 속의 과학 원리를 찾아내는 탐구 활동을 통해 과학 지식이 활용된 사례를 추론할 수 있다.</t>
  </si>
  <si>
    <t>마이크로 컨트롤러(Micro Controller unit)를 활용한 각종 자료 수집⋅분석 등의 활동을 통해 첨단 과학기술에 포함된 기초 과학 원리를 파악하고, 주변 환경을 탐구하고 개선하는 데 첨단 과학기술을 활용하는 체험을 제공한다.</t>
  </si>
  <si>
    <t>[10과탐2-02-02]</t>
  </si>
  <si>
    <t>과학 원리가 적용된 첨단 과학기술 및 탐구 산출물을 발표하고 공유하며, 이를 확산할 수 있다.</t>
  </si>
  <si>
    <t>사물인터넷 센서의 실시간 데이터 활용 등을 통해 첨단 과학기술을 이용한 산출물을 만들어내는 탐구 활동을 진행한다.</t>
  </si>
  <si>
    <t>[10과탐2-02-03]</t>
  </si>
  <si>
    <t>탐구 활동 과정에서 지켜야 할 생명 존중, 연구 진실성, 지식 재산권 존중 등과 같은 연구 윤리와 함께, 과학기술 이용과 관련된 과학 윤리 및 안전 사항을 준수할 수 있다.</t>
  </si>
  <si>
    <t>[12물리01-01]</t>
  </si>
  <si>
    <t>물체에 작용하는 알짜힘과 돌림힘이 0일 때 평형을 이룸을 알고, 다양한 구조물의 안정성을 분석할 수 있다.</t>
  </si>
  <si>
    <t>[12물리01-02]</t>
  </si>
  <si>
    <t>뉴턴 운동 법칙으로 등가속도 운동을 설명하고, 교통안전 사고 예방에 적용할 수 있다.</t>
  </si>
  <si>
    <t>[12물리01-03]</t>
  </si>
  <si>
    <t>작용과 반작용 관계와 운동량 보존 법칙을 알고, 스포츠, 교통수단, 발사체 등에 적용할 수 있다.</t>
  </si>
  <si>
    <t>센서나 기기가 데이터를 측정 또는 수집하는 방법을 경험함으로써 데이터 수집의 한계나 어려움을 이해할 수 있도록 한다.</t>
  </si>
  <si>
    <t>[12물리01-04]</t>
  </si>
  <si>
    <t>일과 운동 에너지의 관계를 이해하고, 위치 에너지와 역학적 에너지 보존 법칙을 설명할 수 있다.</t>
  </si>
  <si>
    <t>[12물리01-05]</t>
  </si>
  <si>
    <t>역학적 에너지가 열의 형태로 전환될 때 에너지 총량이 변하지 않음을 설명할 수 있다.</t>
  </si>
  <si>
    <t>[12물리01-06]</t>
  </si>
  <si>
    <t>열이 역학적 에너지로 전환되는 과정의 효율을 정성적으로 이해하고, 영구기관이 불가능함을 사례를 통해 논증할 수 있다.</t>
  </si>
  <si>
    <t>[12물리02-01]</t>
  </si>
  <si>
    <t>전하를 띤 입자들이 전기장과 전위차를 형성하여 서로 전기적으로 상호작용함을 설명할 수 있다.</t>
  </si>
  <si>
    <t>[12물리02-02]</t>
  </si>
  <si>
    <t>전기 회로에서 저항의 연결에 따라 소비 전력이 달라짐을 알고, 다양한 전기 기구에서 적용되는 사례를 찾을 수 있다.</t>
  </si>
  <si>
    <t>[12물리02-03]</t>
  </si>
  <si>
    <t>축전기에서 전기 에너지를 저장하는 원리가 각종 센서와 전기 신호 입력 장치 등 실생활 제품에서 활용됨을 설명할 수 있다.</t>
  </si>
  <si>
    <t>축전기에서 전기 에너지가 저장되는 원리와 활용 방안을 다루되, 축전기의 전기 용량, 연결, 유전체는 포함하지 않는다.</t>
  </si>
  <si>
    <t>[12물리02-04]</t>
  </si>
  <si>
    <t>자성체의 종류를 알고 일상생활과 산업 기술에서 자성체가 활용되는 예를 찾을 수 있다.</t>
  </si>
  <si>
    <t>[12물리02-05]</t>
  </si>
  <si>
    <t>전류의 자기 작용을 이용하여 에너지를 전환하는 장치의 원리를 알고, 스피커와 전동기 등을 설계할 수 있다.</t>
  </si>
  <si>
    <t>전류의 자기 작용의 예시로 스피커와 전동기의 원리를 에너지 전환 관점에서 설명하고, 학생들이 스피커를 공학적으로 설계하고 제작하도록 지도한다.</t>
  </si>
  <si>
    <t>[12물리02-06]</t>
  </si>
  <si>
    <t>전자기 유도 현상이 센서, 무선통신, 무선충전 등 에너지 전달 기술에 적용되어 현대 문명에 미친 영향을 인식할 수 있다.</t>
  </si>
  <si>
    <t>전자기 유도 법칙 자체보다는 에너지와 신호 전달 기술에 초점을 맞추어 내용을 전개한다.</t>
  </si>
  <si>
    <t>[12물리03-01]</t>
  </si>
  <si>
    <t>빛의 중첩과 간섭을 통해 빛의 파동성을 알고, 이를 이용한 기술과 현상을 예를 들어 설명할 수 있다.</t>
  </si>
  <si>
    <t>[12물리03-02]</t>
  </si>
  <si>
    <t>빛의 굴절을 이용하여 볼록렌즈에서 상이 맺히는 과정을 설명하고, 반도체와 디스플레이 제작 공정에서 중요하게 활용됨을 인식할 수 있다.</t>
  </si>
  <si>
    <t>상이 맺히는 과정을 설명하기 위해 광선 추적법을 도입하며, 결상 공식이나 렌즈 제작자 공식, 복합 렌즈 등 복잡한 상황은 다루지 않는다. 광학 기술이 반도체 제작 공정에서 매우 정밀한 회로 기판을 인쇄하는 데 사용됨을 포토 리소그래피(photo-lithography) 과정을 중심으로 개략적으로 소개한다.</t>
  </si>
  <si>
    <t>[12물리03-03]</t>
  </si>
  <si>
    <t>빛과 물질의 이중성이 전자 현미경과 영상 정보 저장 등 다양한 분야에 활용됨을 설명할 수 있다.</t>
  </si>
  <si>
    <t>[12물리03-04]</t>
  </si>
  <si>
    <t>원자 내의 전자는 양자화된 에너지 준위를 가지고 있음을 스펙트럼 관찰 증거를 바탕으로 논증할 수 있다.</t>
  </si>
  <si>
    <t>[12물리03-05]</t>
  </si>
  <si>
    <t>고체의 에너지띠 구조로부터 도체와 부도체의 차이를 알고, 반도체 소자의 원리를 설명할 수 있다.</t>
  </si>
  <si>
    <t>[12물리03-06]</t>
  </si>
  <si>
    <t>모든 관성계에서 빛의 속력이 동일하다는 원리로부터 시간 팽창, 길이 수축 현상이 나타남을 알고, 이러한 지식이 사회에 미친 영향을 조사할 수 있다.</t>
  </si>
  <si>
    <t>특수 상대성 이론은 광속 불변의 결과로 시간 팽창과 길이 수축이 일어나는 현상 위주로 설명하고, 동시성의 상대성과 정량적 계산은 다루지 않는다.</t>
  </si>
  <si>
    <t>[12화학01-01]</t>
  </si>
  <si>
    <t>화학이 현대 과학⋅기술⋅사회의 발전에 기여한 사례를 조사⋅발표하며 화학에 흥미와 호기심을 가질 수 있다.</t>
  </si>
  <si>
    <t>[12화학01-02]</t>
  </si>
  <si>
    <t>다양한 단위를 몰로 환산할 수 있음을 이해하고, 물질의 양을 몰 단위로 표현할 수 있다.</t>
  </si>
  <si>
    <t>[12화학01-03]</t>
  </si>
  <si>
    <t>여러 가지 반응을 화학 반응식으로 나타내고, 화학 반응에서 물질의 양적 관계를 설명할 수 있다.</t>
  </si>
  <si>
    <t>화학 반응식의 계수비는 반응하는 물질의 몰수비임을 강조하고, 화학 반응의 양적 관계를 다룰 때는 몰질량을 이용하여 몰수로 표현하면 반응물과 생성물의 양적 관계를 쉽게 이해할 수 있음을 강조한다.</t>
  </si>
  <si>
    <t>[12화학02-01]</t>
  </si>
  <si>
    <t>실험을 통해 화학 결합의 전기적 성질을 설명할 수 있다.</t>
  </si>
  <si>
    <t>[12화학02-02]</t>
  </si>
  <si>
    <t>전기 음성도의 주기적 변화를 이해하고, 결합한 원소들의 전기 음성도 차이와 쌍극자 모멘트를 이용하여 결합의 극성을 판단할 수 있다.</t>
  </si>
  <si>
    <t>쌍극자 모멘트는 정성적으로 다룬다.</t>
  </si>
  <si>
    <t>[12화학02-03]</t>
  </si>
  <si>
    <t>원자와 분자를 루이스 전자점식으로 표현하고, 전자쌍 반발 이론을 근거로 분자의 구조를 추론하여 모형으로 나타낼 수 있다.</t>
  </si>
  <si>
    <t>중심 원자는 2, 3주기 전형 원소 중 Be, B와 옥텟 규칙을 따르는 경우로 한정한다.</t>
  </si>
  <si>
    <t>[12화학02-04]</t>
  </si>
  <si>
    <t>물질의 물리적, 화학적 성질을 분자의 구조와 연관 짓고, 이에 대한 호기심을 가질 수 있다.</t>
  </si>
  <si>
    <t>[12화학03-01]</t>
  </si>
  <si>
    <t>가역 반응에서 나타나는 화학 평형 상태의 특징을 설명할 수 있다.</t>
  </si>
  <si>
    <t>가역 반응의 예시를 들 때 거시적으로 관찰 가능한 화학 평형 상태의 특징과 동적 평형 상태를 구분하여 다룬다.</t>
  </si>
  <si>
    <t>[12화학03-02]</t>
  </si>
  <si>
    <t>화학 반응에서 반응물과 생성물의 농도 자료를 통해 평형 상수의 의미를 설명할 수 있다.</t>
  </si>
  <si>
    <t>몰 농도 개념에 대한 설명은 평형 상수의 의미를 이해하는 데 필요한 정도로만 하고 자세한 내용은 ‘역동적인 화학 반응’에서 다룬다. 압력 평형 상수는 다루지 않는다.</t>
  </si>
  <si>
    <t>[12화학03-03]</t>
  </si>
  <si>
    <t>반응 지수의 의미를 알고, 이를 평형 상수와 비교하여 반응의 진행 방향을 예측할 수 있다.</t>
  </si>
  <si>
    <t>[12화학03-04]</t>
  </si>
  <si>
    <t>농도, 압력, 온도 변화에 따른 화학 평형의 이동을 이해하고, 이를 일상생활 속 현상을 설명하는 데 적용하여 화학의 유용함을 느낄 수 있다.</t>
  </si>
  <si>
    <t>[12화학04-01]</t>
  </si>
  <si>
    <t>물의 자동 이온화와 물의 이온화 상수를 이해하고, 수소 이온의 농도를 pH로 표현할 수 있다.</t>
  </si>
  <si>
    <t>[12화학04-02]</t>
  </si>
  <si>
    <t>몰 농도의 의미를 이해하고, 원하는 몰 농도의 용액을 만들 수 있다.</t>
  </si>
  <si>
    <t>[12화학04-03]</t>
  </si>
  <si>
    <t>중화 반응을 이해하고, 중화 반응에서의 양적 관계를 설명할 수 있다.</t>
  </si>
  <si>
    <t>중화 반응에서의 양적 관계는 강산과 강염기의 반응으로 제한한다.</t>
  </si>
  <si>
    <t>[12화학04-04]</t>
  </si>
  <si>
    <t>중화 적정 실험을 계획하고 수행하여 미지 시료의 농도를 찾을 수 있다.</t>
  </si>
  <si>
    <t>중화 적정 곡선은 다루지 않는다.</t>
  </si>
  <si>
    <t>[12생과01-01]</t>
  </si>
  <si>
    <t>생물 및 생명과학의 특성을 이해하고 생명과학의 성과를 협력적으로 소통할 수 있다.</t>
  </si>
  <si>
    <t>생물과 비생물의 특성을 비교하고, 생명과학 분야의 학문적 특징은 간략하게 다루며, 현대 생명과학 분야의 성과는 여러 학문 분야의 성과와 결합되어 나타난다는 것에 초점을 두도록 한다.</t>
  </si>
  <si>
    <t>[12생과01-02]</t>
  </si>
  <si>
    <t>세포에서부터 생태계까지 생명 시스템의 구성 단계의 특징을 바탕으로 체계적인 설명 자료를 만들 수 있다.</t>
  </si>
  <si>
    <t>세포로부터 개체, 그리고 생태계에 이르기까지 생물의 구성 단계들이 구조적 체계를 이루고 있으며, 각각이 생명 시스템으로서 기능을 하고 있다는 것을 다룬다.</t>
  </si>
  <si>
    <t>[12생과01-03]</t>
  </si>
  <si>
    <t>물질대사 과정에서의 에너지 전환 과정을 바탕으로 다양한 생명 활동에서의 에너지 사용을 추론할 수 있다.</t>
  </si>
  <si>
    <t>ATP 구조를 구체적으로 다루기보다는 모든 살아있는 세포는 물질대사 과정에서 에너지가 ATP로 저장되고 사용된다는 수준에서 다루도록 한다.</t>
  </si>
  <si>
    <t>[12생과01-04]</t>
  </si>
  <si>
    <t>소화, 순환, 호흡, 배설 과정이 기관계의 통합적 작용으로 나타남을 신체의 생리적 변화와 연관지어 추론할 수 있다.</t>
  </si>
  <si>
    <t>기관계의 통합적 작용을 실제 인체 활동 과정에서 나타나는 생리적 변화의 사례를 바탕으로 설명하도록 한다.</t>
  </si>
  <si>
    <t>[12생과01-05]</t>
  </si>
  <si>
    <t>물질대사 관련 질병 조사를 위한 방법을 고안하여 수행하고 대사성 질환을 예방하기 위한 올바른 생활 습관에 대해 토의하며 협력적으로 소통할 수 있다.</t>
  </si>
  <si>
    <t>[12생과01-06]</t>
  </si>
  <si>
    <t>생태계의 구조를 이해하고 물질의 순환과 에너지의 흐름을 추론하여 생태계 구성 요소들의 중요성을 설명할 수 있다.</t>
  </si>
  <si>
    <t>생태계를 하나의 살아있는 유기체와 같은 개념으로서 이해하도록 하여 외부 환경의 변화에 의해 생태계 평형이 깨질 수 있음을 다룬다.</t>
  </si>
  <si>
    <t>[12생과01-07]</t>
  </si>
  <si>
    <t>개체군과 군집의 특성을 이해하고 이들의 상호작용의 예를 조사하여 발표할 수 있다.</t>
  </si>
  <si>
    <t>개체군 내의 상호작용은 텃세, 순위제, 리더제, 사회생활, 가족생활을, 군집 내의 상호작용은 종간 경쟁, 분서, 공생, 기생, 포식과 피식을 다룬다.</t>
  </si>
  <si>
    <t>[12생과02-01]</t>
  </si>
  <si>
    <t>신경 세포의 구조와 기능을 이해하고, 신경 세포에서의 전도 과정을 모식도로 표현할 수 있다.</t>
  </si>
  <si>
    <t>[12생과02-02]</t>
  </si>
  <si>
    <t>시냅스를 통한 신경 신호의 전달 과정을 이해하고, 약물이 시냅스 전달에 영향을 미치는 사례를 조사하여 발표할 수 있다.</t>
  </si>
  <si>
    <t>[12생과02-03]</t>
  </si>
  <si>
    <t>사람 신경계의 구조와 기능을 이해하고 중추 신경계와 말초 신경계의 특징을 설명할 수 있다.</t>
  </si>
  <si>
    <t>중학교 수준에서 다루었던 자극과 반응 사이에 정보를 전달하는 신경계의 구조와 종류보다는 중추 신경계의 핵심인 대뇌 중심으로 뇌의 구조와 기능을 설명하고 중뇌, 소뇌, 연수, 간뇌는 간략하게 다루도록 한다.</t>
  </si>
  <si>
    <t>[12생과02-04]</t>
  </si>
  <si>
    <t>내분비계와 신경계 작용 원리와 상호작용의 이해를 바탕으로 우리 몸의 항상성이 유지되는 과정을 추론할 수 있다.</t>
  </si>
  <si>
    <t>내분비계는 호르몬의 종류에 초점을 두기보다는 신경계와 호르몬의 통합적 작용에 의한 항상성 조절에 초점을 두어 다루도록 한다.</t>
  </si>
  <si>
    <t>[12생과02-05]</t>
  </si>
  <si>
    <t>병원체의 종류와 특징을 이해하고 우리 몸의 방어 작용을 선천적 면역과 후천적 면역으로 구분하여 설명할 수 있다.</t>
  </si>
  <si>
    <t>[12생과02-06]</t>
  </si>
  <si>
    <t>항원 항체 반응의 특이성을 이해하고, 혈액의 응집 반응 원리를 이용하여 혈액형을 판정할 수 있다.</t>
  </si>
  <si>
    <t>[12생과02-07]</t>
  </si>
  <si>
    <t>백신의 종류와 작용 원리를 조사하고 질병의 예방 측면에서 백신의 필요성을 인식하여 협력적으로 소통할 수 있다.</t>
  </si>
  <si>
    <t>백신 제조 방법에 따른 다양한 종류의 백신을 조사하고 감염성 질병을 일으키는 병원체들의 특징을 감염이나 예방과 관련지어 이해하도록 한다.</t>
  </si>
  <si>
    <t>[12생과03-01]</t>
  </si>
  <si>
    <t>염색체의 구조를 이해하고, DNA, 유전자의 관계를 설명할 수 있다.</t>
  </si>
  <si>
    <t>염색체, DNA, 유전자의 개념을 단계적으로 다루고, 이들 간의 상호 관계를 이해하도록 한다.</t>
  </si>
  <si>
    <t>[12생과03-02]</t>
  </si>
  <si>
    <t>생식세포 형성과정을 체세포분열 과정과 비교하고, 생식세포 형성의 중요성을 생명의 연속성 및 다양성과 관련지어 추론할 수 있다.</t>
  </si>
  <si>
    <t>[12생과03-03]</t>
  </si>
  <si>
    <t>생물 진화의 원리를 이해하고, 생물 진화 연구의 다양한 사례를 조사하여 협력적으로 소통할 수 있다.</t>
  </si>
  <si>
    <t>진화에 대한 다윈의 아이디어를 조사하는 활동 등 자연선택에 의한 진화 과정을 중심으로 다루며, 하디-바인베르크 법칙은 다루지 않고 진화의 사례를 조사하여 변이와 자연선택에 의한 진화의 원리를 이해하도록 한다.</t>
  </si>
  <si>
    <t>[12생과03-04]</t>
  </si>
  <si>
    <t>생물의 분류 체계를 바탕으로 각 분류군의 차이를 이해하고 생물군을 분류 체계에 따라 설명할 수 있다.</t>
  </si>
  <si>
    <t>생물의 분류 체계를 역과 계 수준에서만 다루도록 하고 세부적인 분류기준들을 설명하지 않는다.</t>
  </si>
  <si>
    <t>[12생과03-05]</t>
  </si>
  <si>
    <t>동물과 식물 분류군의 특징을 문 수준에서 이해하고, 생물의 유연관계를 계통수로 나타낼 수 있다.</t>
  </si>
  <si>
    <t>동물과 식물의 분류군의 특징을 문 수준에서 다루도록 하며, 식물과 동물의 계통수를 통해 유연관계를 이해하도록 한다.</t>
  </si>
  <si>
    <t>[12지구01-01]</t>
  </si>
  <si>
    <t>해수의 물리적, 화학적 성질을 이해하고, 실측 자료를 활용하여 해수의 온도, 염분, 밀도, 용존 산소량 등의 분포를 분석⋅해석할 수 있다.</t>
  </si>
  <si>
    <t>해수의 밀도가 수온과 염분에 따라 결정된다는 것을 T-S 다이어그램을 통해서 이해시키고, 심층 순환에서 주요 해류는 단순화시킨 바다 단면을 이용해서 다루며, 실제 해저 지형이나 대륙의 분포 등이 해류의 방향이나 해수의 대순환에 미치는 영향은 다루지 않는다.</t>
  </si>
  <si>
    <t>[12지구01-02]</t>
  </si>
  <si>
    <t>심층 순환의 발생 원리와 분포를 알고, 표층 순환 및 기후변화의 관련성을 추론할 수 있다.</t>
  </si>
  <si>
    <t>[12지구01-03]</t>
  </si>
  <si>
    <t>중위도 저기압과 고기압이 통과할 때 날씨의 변화를 일기도, 위상 영상, 레이더 영상을 종합하여 예측할 수 있다.</t>
  </si>
  <si>
    <t>온대 저기압이란 용어는 중위도 저기압(mid-latitude Low)으로 표현한다. 저기압은 규모에 따라 전선을 동반한 저기압(중위도 종관 규모 저기압)과 중규모 저기압(소나기(스콜)를 만드는 저기압)으로 구분한다는 것을 다룬다. 실제 우리나라 주변의 일기도와 관련지어 중위도 저기압이 통과하면서 나타나는 날씨의 변화를 설명한다.</t>
  </si>
  <si>
    <t>[12지구01-04]</t>
  </si>
  <si>
    <t>태풍의 발생, 이동, 소멸 과정 및 태풍 영향권에서 날씨를 예측하고, 뇌우, 집중호우, 폭설, 강풍, 황사 등 주요 악기상의 생성 메커니즘과 대처 방안을 제시할 수 있다.</t>
  </si>
  <si>
    <t>최근에 발생한 사례를 중심으로 태풍이 우리나라에 준 피해와 영향 및 위력을 간략하게 다루면서, 대기와 해양 및 대기와 육지의 상호작용 등에 초점을 둔다. 뇌우, 집중호우, 강풍, 폭설, 우박 등과 같은 우리나라의 주요 악기상을 소개하고 이들의 생성 메커니즘을 간단히 다룬다.</t>
  </si>
  <si>
    <t>[12지구01-05]</t>
  </si>
  <si>
    <t>대기와 해양의 상호작용의 사례로서 해수의 용승과 침강, 엘니뇨-남방진동(ENSO)의 현상의 진행 과정 및 관련 현상을 설명할 수 있다.</t>
  </si>
  <si>
    <t>대기와 해양의 상호작용과 기후시스템의 주기적인 변동성에 초점을 맞추어 엘니뇨-남방진동(ENSO)의 영향을 다루고, 엘니뇨와 라니냐 시기에 나타나는 현상을 중심으로 설명한다.</t>
  </si>
  <si>
    <t>[12지구01-06]</t>
  </si>
  <si>
    <t>기후변화의 원인을 자연적 요인과 인위적 요인으로 구분하여 설명하고, 인간 활동에 의한 기후변화 문제를 과학적으로 해결하는 방법을 탐색할 수 있다.</t>
  </si>
  <si>
    <t>[12지구02-01]</t>
  </si>
  <si>
    <t>지층 형성의 선후 관계를 결정짓는 법칙들을 활용하여 상대 연령을 비교하고, 방사성 동위 원소를 이용한 광물의 절대 연령 자료로 암석의 절대 연령을 구할 수 있다.</t>
  </si>
  <si>
    <t>지층 형성의 선후 관계를 결정짓는 법칙들(수평퇴적의 법칙, 지층누중의 법칙, 동물군 천이의 법칙, 관입의 법칙, 부정합의 법칙 등)을 이해하고, 시간과 암석에 따라 층의 순서를 결정하고 지구의 역사에 대해 설명한다. 지층의 나이를 결정하는 데 상대 연령과 절대 연령이 있음을 이해하고 절대 연령의 경우 방사성 동위 원소를 이용하는 원리를 설명하고 간단한 계산을 통해 적용해 본다.</t>
  </si>
  <si>
    <t>[12지구02-02]</t>
  </si>
  <si>
    <t>지질시대를 기(紀) 수준에서 구분하고, 지층과 화석을 통해 지질시대의 생물과 환경 변화를 해석할 수 있다.</t>
  </si>
  <si>
    <t>지층에서는 퇴적암의 퇴적 구조와 퇴적 환경을 함께 다루고, 지질시대의 환경을 다루면서 표준 화석으로 살펴본 고생물, 지질시대를 결정하는 생물의 변천, 지구 환경의 변화 등을 다룬다. 또한, 지구의 역사를 통하여 기후가 어떻게 변해왔는지를 고기후 연구 방법을 조사하여 설명하되, 고기후 연구 방법만 소개하고 자세한 메커니즘은 다루지 않는다.</t>
  </si>
  <si>
    <t>[12지구02-03]</t>
  </si>
  <si>
    <t>변동대에서 마그마가 생성되고, 그 조성에 따라 다양한 화성암이 생성됨을 설명할 수 있다.</t>
  </si>
  <si>
    <t>[12지구02-04]</t>
  </si>
  <si>
    <t>변성작용의 종류와 지각 변동에 따른 구조를 변동대와 관련지어 설명하고, 지구시스템에서 암석이 순환함을 추론할 수 있다.</t>
  </si>
  <si>
    <t>[12지구02-05]</t>
  </si>
  <si>
    <t>우리나라의 대표적인 지질공원의 지질학적 형성 과정을 추론하고, 지역사회와 함께하는 지질공원의 지속가능한 발전방안을 제안할 수 있다.</t>
  </si>
  <si>
    <t>우리나라의 모든 국가지질공원에 대해 각각의 특성을 열거하는 방식으로 다루는 것은 지양하며, 주변의 지질공원을 방문할 때 관찰 가능한 내용을 중심으로 다루도록 한다.</t>
  </si>
  <si>
    <t>[12지구03-01]</t>
  </si>
  <si>
    <t>태양-지구-달 시스템에서의 식 현상을 이해하고 모형을 이용하여 태양계 행성의 겉보기 운동을 설명할 수 있다.</t>
  </si>
  <si>
    <t>천체의 운동을 3차원 공간에서 이해할 수 있도록 천체 관측 시뮬레이션 프로그램을 활용한다. 식 현상은 중학교의 ‘태양계’에서 학습한 내용을 심화하여 천체의 공전 궤도 특징으로부터 식 현상의 원리를 설명하며, 일식은 지표면에 드리워진 달 그림자의 이동 궤적과 개기, 금환, 부분, 혼성 일식을, 월식은 개기, 부분 월식과 반영식을 다룬다.</t>
  </si>
  <si>
    <t>[12지구03-02]</t>
  </si>
  <si>
    <t>별의 분광형 결정 및 별의 분류 과정을 이해하고, 흑체복사 법칙을 이용하여 별의 물리량을 추론할 수 있다.</t>
  </si>
  <si>
    <t>[12지구03-03]</t>
  </si>
  <si>
    <t>다양한 질량을 가진 별의 진화 과정을 H-R도에 나타내고 해석할 수 있다.</t>
  </si>
  <si>
    <t>다양한 질량을 가진 별들의 진화 경로를 H-R도상에 제시하고, 영년 주계열을 기준으로 전주계열과 후주계열을 비교하여 이해한다. 별이 진화의 마지막 단계를 거쳐 다시 성간 물질로 되돌아가는 과정을 다룬다.</t>
  </si>
  <si>
    <t>[12지구03-04]</t>
  </si>
  <si>
    <t>허블의 은하 분류 체계에 따른 은하의 특징을 비교하고 외부은하의 자료를 이용하여 특이 은하의 관측적 특징을 추론할 수 있다.</t>
  </si>
  <si>
    <t>허블의 은하 분류 체계가 형태학적 분류임을 이해하고 은하의 유형에 따른 성간 물질의 비율, 구성 천체의 나이 등의 특징을 비교하여 다룬다. 다양한 파장으로 관측한 외부은하의 관측 자료로부터 특이 은하의 스펙트럼을 이해할 수 있도록 지도한다.</t>
  </si>
  <si>
    <t>[12지구03-05]</t>
  </si>
  <si>
    <t>허블-르메트르 법칙으로 우주의 팽창을 이해하고 우주의 진화에 대한 다양한 설명 체계의 의의를 현대 우주론의 관점에서 비교할 수 있다.</t>
  </si>
  <si>
    <t>우주에 대한 관측적 증거를 바탕으로 현대 우주론이 정립되기까지의 과정에서 정적 우주, 팽창 우주, 급팽창, 가속 팽창의 개념을 다루며, 관측 가능한 우주의 개념을 도입한다.</t>
  </si>
  <si>
    <t>[12역학01-01]</t>
  </si>
  <si>
    <t>물체에 작용하는 여러 가지 힘의 합력을 구하여 물체의 운동을 정량적으로 예측할 수 있다.</t>
  </si>
  <si>
    <t>[12역학01-02]</t>
  </si>
  <si>
    <t>뉴턴 운동 법칙을 이용하여 물체의 포물선 운동을 정량적으로 설명하고, 포물선 운동에서의 역학적 에너지를 구할 수 있다.</t>
  </si>
  <si>
    <t>[12역학01-03]</t>
  </si>
  <si>
    <t>물체에 작용하는 힘의 방향에 따라 물체의 운동 방향이 변할 수 있음을 원운동 등 다양한 예를 들어 설명할 수 있다.</t>
  </si>
  <si>
    <t>[12역학01-04]</t>
  </si>
  <si>
    <t>케플러 법칙으로부터 중력의 존재가 밝혀지는 과학사적 배경을 이해하고, 중력을 이용하여 인공위성과 행성의 운동을 분석하고 설명할 수 있다.</t>
  </si>
  <si>
    <t>[12역학01-05]</t>
  </si>
  <si>
    <t>역학적 에너지 보존을 이용하여 행성에 따라 탈출 속도가 다름을 이해하고, 운동량 보존을 이용하여 우주선이 발사되어 궤도에 오르는 원리를 설명할 수 있다.</t>
  </si>
  <si>
    <t>탈출 속도의 차이로 인해 행성별로 대기의 구성이 다름을 정성적으로 소개하고, 우주선이 발사되어 궤도에 오르는 원리를 정량적으로 다루지 않고 뉴턴 운동 법칙과 운동량 보존 법칙을 이용하여 정성적으로 설명한다.</t>
  </si>
  <si>
    <t>[12역학01-06]</t>
  </si>
  <si>
    <t>등가 원리와 시공간의 휘어짐으로 인해 블랙홀과 중력 시간 지연이 나타남을 이해하고, 일반 상대론에 흥미를 느낄 수 있다.</t>
  </si>
  <si>
    <t>중력 질량과 관성 질량의 등가 원리 및 시공간의 휘어짐에 대한 기초적인 설명과 함께, 탈출 속도의 의미로부터 블랙홀의 의미를 기초적으로 설명하고, 위성 항법 장치(GPS) 시간 보정 등 중력 시간 지연이 실생활에서 활용되는 사례를 찾을 수 있게 한다.</t>
  </si>
  <si>
    <t>[12역학02-01]</t>
  </si>
  <si>
    <t>건축을 포함한 다양한 열에너지 관련 기술에 단열, 열팽창 등이 활용된 예를 조사함으로써 과학의 유용성에 대한 가치를 인식할 수 있다.</t>
  </si>
  <si>
    <t>고체뿐만 아니라 액체, 기체와 같은 유체에서 열이 전도, 대류, 복사 등의 방법으로 전달되는 과정을 이해하고, 냉난방을 위한 건축물의 단열재 및 건축물의 구조 등 실생활에 활용되는 사례를 조사하고 설명할 수 있게 한다.</t>
  </si>
  <si>
    <t>[12역학02-02]</t>
  </si>
  <si>
    <t>열에 의한 물질의 상태 변화를 이해하고, 이상 기체의 온도, 압력, 부피의 관계를 설명할 수 있다.</t>
  </si>
  <si>
    <t>물질의 고유한 특성인 비열과 잠열을 정량적으로 이해할 수 있게 하고, 이상 기체 법칙을 실생활에서의 다양한 열 현상에 적용할 수 있게 한다.</t>
  </si>
  <si>
    <t>[12역학02-03]</t>
  </si>
  <si>
    <t>계에 가해진 열이 계의 내부 에너지를 변화시키거나 외부에 일을 할 수 있음을 이해하고, 일상생활 속의 예를 찾음으로써 흥미를 느낄 수 있다.</t>
  </si>
  <si>
    <t>등압 과정, 등적 과정, 등온 과정 등 다양한 열역학 과정을 통해 이상 기체에 가해진 열과 일, 내부 에너지의 변화 등 열역학 제1법칙의 기초를 이해할 수 있게 하고, 열역학 제1법칙이 에너지 보존 법칙의 다른 표현임을 이해할 수 있게 한다.</t>
  </si>
  <si>
    <t>[12역학02-04]</t>
  </si>
  <si>
    <t>다양한 열기관에서의 순환 과정과 열효율을 설명하고, 열기관의 개발과 활용이 인류 공동체에 미친 영향을 산업발전과 환경 측면에서 평가할 수 있다.</t>
  </si>
  <si>
    <t>[12역학02-05]</t>
  </si>
  <si>
    <t>열의 이동, 기체의 확산과 같은 비가역 현상을 엔트로피를 이용하여 설명할 수 있다.</t>
  </si>
  <si>
    <t>[12역학03-01]</t>
  </si>
  <si>
    <t>용수철 진자를 통해 단진동을 이해하고, 가속도와 변위 사이의 관계를 설명할 수 있다.</t>
  </si>
  <si>
    <t>[12역학03-02]</t>
  </si>
  <si>
    <t>탄성파의 진행, 투과, 반사를 이해하고, 탄성파가 활용되는 예를 찾음으로써 과학의 유용성을 인식할 수 있다.</t>
  </si>
  <si>
    <t>탄성파의 진행을 파장, 진동수, 진행 속력으로 기술하도록 한다. 탄성파가 매질의 경계면에서 투과 또는 반사를 할 때 탄성파의 위상이 변화됨을 다루고, 탄성파가 활용되는 예로 초음파 영상, 비파괴 검사 등을 이용한다.</t>
  </si>
  <si>
    <t>[12역학03-03]</t>
  </si>
  <si>
    <t>도플러 효과를 이해하고 물체의 속도 측정 등 다양한 장치에 이용됨을 설명할 수 있다.</t>
  </si>
  <si>
    <t>[12역학03-04]</t>
  </si>
  <si>
    <t>음향 장치 또는 실내외 공간에서의 소음 제어에 음파의 간섭이 활용됨을 이해하고, 실생활에 사용되는 사례를 조사할 수 있다.</t>
  </si>
  <si>
    <t>둘 이상의 파원에서 만들어지는 파동은 중첩될 수 있으며, 특히 중첩이 일정한 형태로 지속될 때 간섭 현상이 발생함을 알게 하여, 이를 활용한 소음 제거, 소리의 증폭 등 다양한 활용이 가능함을 알게 한다.</t>
  </si>
  <si>
    <t>[12역학03-05]</t>
  </si>
  <si>
    <t>현악기, 관악기 등에서 소리를 내는 원리를 정상파를 이용하여 설명할 수 있다.</t>
  </si>
  <si>
    <t>[12전자01-01]</t>
  </si>
  <si>
    <t>전하 주위의 전기장을 정량적으로 구하고, 전기력선과 등전위면으로부터 전기장의 세기와 방향을 추리할 수 있다.</t>
  </si>
  <si>
    <t>등전위면, 전기력선, 자기력선을 그리는 방법 대신 이미 그려진 그림을 해석하여 전기장과 자기장에 대한 정보를 추리하는 방식으로 다룬다.</t>
  </si>
  <si>
    <t>[12전자01-02]</t>
  </si>
  <si>
    <t>정전기 유도와 유전분극을 설명하고, 일상생활에서 적용되는 예를 찾을 수 있다.</t>
  </si>
  <si>
    <t>[12전자01-03]</t>
  </si>
  <si>
    <t>자기력선을 이용하여 전류가 흐르는 도선 주위의 자기장의 세기와 방향을 추리할 수 있다.</t>
  </si>
  <si>
    <t>[12전자01-04]</t>
  </si>
  <si>
    <t>로런츠 힘이 발생하는 조건을 알고, 로런츠 힘과 관련된 현상과 기술을 설명할 수 있다.</t>
  </si>
  <si>
    <t>도선이 받는 힘, 입자 가속기, 토카막, 밴앨런대 등 로런츠 힘과 관련된 다양한 현상과 사례를 다룬다.</t>
  </si>
  <si>
    <t>[12전자01-05]</t>
  </si>
  <si>
    <t>자기선속의 변화로 전자기 유도를 이해하고, 변압기, 인덕터 등 전자기 유도의 활용 기술을 설명할 수 있다.</t>
  </si>
  <si>
    <t>[12전자01-06]</t>
  </si>
  <si>
    <t>저항, 축전기, 인덕터를 활용하는 장치를 찾아 에너지 관점에서 정성적으로 설명할 수 있다.</t>
  </si>
  <si>
    <t>[12전자01-07]</t>
  </si>
  <si>
    <t>다이오드, 트랜지스터 등 반도체 소자를 활용하는 전자회로를 분석하고, 현대 문명에서 반도체의 중요성을 인식할 수 있다.</t>
  </si>
  <si>
    <t>반도체 소자를 활용한 정류, 증폭, 기초 논리회로 등을 회로 위주로 다루며, 미시적 작동 원리에 초점을 맞추지 않도록 한다.</t>
  </si>
  <si>
    <t>[12전자02-01]</t>
  </si>
  <si>
    <t>빛의 간섭과 회절을 알고, 홀로그램 등 현대의 정밀 기술에 활용되는 예를 찾을 수 있다.</t>
  </si>
  <si>
    <t>반사에 의한 위상변화를 포함하여 간섭 현상을 다루며, 회절과 분해능은 정성적으로만 다룬다.</t>
  </si>
  <si>
    <t>[12전자02-02]</t>
  </si>
  <si>
    <t>렌즈와 거울을 이용한 광학 기기의 원리와 수차를 설명할 수 있다.</t>
  </si>
  <si>
    <t>[12전자02-03]</t>
  </si>
  <si>
    <t>편광의 원리를 이해하고, 이를 활용한 디지털 정보 기술의 사례를 조사할 수 있다.</t>
  </si>
  <si>
    <t>편광판을 지나는 빛의 투과량 변화는 정성적으로 다룬다.</t>
  </si>
  <si>
    <t>[12전자02-04]</t>
  </si>
  <si>
    <t>광전효과에서 빛과 물질이 상호작용하는 방식을 알고, 디지털 영상 정보, 광센서, 태양전지 등 광전효과와 관련된 다양한 기술을 조사할 수 있다.</t>
  </si>
  <si>
    <t>[12전자02-05]</t>
  </si>
  <si>
    <t>레이저의 특징과 빛이 증폭되는 원리를 알고, 레이저가 디지털 광통신 등 여러 영역에서 활용됨을 조사하여 현대 문명에서 레이저의 중요성을 인식할 수 있다.</t>
  </si>
  <si>
    <t>[12전자03-01]</t>
  </si>
  <si>
    <t>단일 양자 수준의 이중 슬릿 실험을 통해서 입자-파동 이중성을 확인하고, 단일 양자의 분포에 대한 실험 결과를 확률 파동의 간섭을 토대로 해석할 수 있다.</t>
  </si>
  <si>
    <t>[12전자03-02]</t>
  </si>
  <si>
    <t>중첩과 측정을 통한 확률적 상태 변화를 이해하고, 이를 이용한 양자컴퓨터, 양자암호통신 등의 양자 기술이 일상생활과 미래 사회에 미칠 영향을 인식할 수 있다.</t>
  </si>
  <si>
    <t>양자 기술은 물리적 원리보다는 사회에 미치는 영향을 중심으로 다룬다.</t>
  </si>
  <si>
    <t>[12전자03-03]</t>
  </si>
  <si>
    <t>터널 효과를 설명하고, 관련된 현상과 기술을 조사하여 발표할 수 있다.</t>
  </si>
  <si>
    <t>터널 효과가 고전적으로 불가능하지만 전자소자 소형화에 따른 터널 효과 발생 문제와 주사 터널링 현미경(STM) 등 다양한 현상과 기술에서 나타나는 확률적 현상임을 정성적으로 설명하여 지도한다.</t>
  </si>
  <si>
    <t>[12전자03-04]</t>
  </si>
  <si>
    <t>현대의 원자모형을 불확정성 원리와 확률을 기반으로 설명하고, 보어의 원자모형과 비교할 수 있다.</t>
  </si>
  <si>
    <t>현대의 원자모형에서 오비탈은 다루지 않는다.</t>
  </si>
  <si>
    <t>[12전자03-05]</t>
  </si>
  <si>
    <t>별에서 핵융합에 의해 에너지가 생성되고 빛이 방출되는 원리를 알고, 별빛의 스펙트럼에 기반하여 별의 구성 원소를 추리할 수 있다.</t>
  </si>
  <si>
    <t>[12물에01-01]</t>
  </si>
  <si>
    <t>기체의 온도, 압력, 부피, 몰수 사이의 관계를 통합적으로 이해하고, 이상 기체 방정식을 근사적으로 활용하는 사례를 조사하여 화학의 유용함을 인식할 수 있다.</t>
  </si>
  <si>
    <t>[12물에01-02]</t>
  </si>
  <si>
    <t>혼합 기체의 부분 압력과 몰 분율의 관계를 알고, 일상생활에서 유용하게 사용되는 혼합 기체에 호기심을 가질 수 있다.</t>
  </si>
  <si>
    <t>[12물에01-03]</t>
  </si>
  <si>
    <t>물질이 액체로 존재할 수 있는 이유를 분자 간 상호작용으로 이해하고, 액체의 종류에 따라 끓는점이 달라짐을 설명할 수 있다.</t>
  </si>
  <si>
    <t>[12물에01-04]</t>
  </si>
  <si>
    <t>고체를 결정과 비결정으로 구분하고, 결정성 고체를 화학 결합의 종류에 따라 분류할 수 있다.</t>
  </si>
  <si>
    <t>결정 구조는 다루지 않고, 이온 결합, 공유 결합, 금속 결합을 이용하여 결정성 고체를 이온 결정, 분자 결정, 공유 결정, 금속 결정으로 구분하는 수준으로 다룬다.</t>
  </si>
  <si>
    <t>[12물에02-01]</t>
  </si>
  <si>
    <t>다른 액체와 구별되는 물의 성질을 수소 결합으로 설명하고, 경이로운 물의 성질에 흥미를 느낄 수 있다.</t>
  </si>
  <si>
    <t>[12물에02-02]</t>
  </si>
  <si>
    <t>실험 데이터를 이용하여 용액의 농도에 따른 증기압, 끓는점, 어는점의 변화를 비교하고, 일상생활에서 나타나는 사례와 연관 지어 설명할 수 있다.</t>
  </si>
  <si>
    <t>끓는점 오름과 어는점 내림은 몰랄 농도 또는 몰 분율을 도입하여 다룬다.</t>
  </si>
  <si>
    <t>[12물에02-03]</t>
  </si>
  <si>
    <t>용액의 농도에 따른 삼투현상을 이해하고, 일상생활에서 삼투현상이 나타나는 사례를 찾아 화학 원리가 유용하게 적용됨을 인식할 수 있다.</t>
  </si>
  <si>
    <t>[12물에03-01]</t>
  </si>
  <si>
    <t>엔탈피의 의미를 알고, 엔탈피를 이용하여 열화학 반응식을 표현할 수 있다.</t>
  </si>
  <si>
    <t>화학 반응에서 열의 출입에 관련된 내용으로 제한하며, 열역학 함수로서의 엔탈피는 다루지 않는다.</t>
  </si>
  <si>
    <t>[12물에03-02]</t>
  </si>
  <si>
    <t>측정하기 어려운 화학 반응의 엔탈피를 헤스 법칙으로 구하여 화학 법칙의 유용성을 인식할 수 있다.</t>
  </si>
  <si>
    <t>[12물에03-03]</t>
  </si>
  <si>
    <t>엔트로피의 의미를 이해하고, 엔탈피와 엔트로피의 변화로 화학 변화의 자발성을 설명할 수 있다.</t>
  </si>
  <si>
    <t>깁스 자유 에너지는 다루지 않으며, 엔트로피는 정성적으로 다룬다.</t>
  </si>
  <si>
    <t>[12물에04-01]</t>
  </si>
  <si>
    <t>화학 반응 속도를 반응물의 농도로 표현할 수 있음을 알고, 자료 해석을 통하여 반응 속도식을 구할 수 있다.</t>
  </si>
  <si>
    <t>[12물에04-02]</t>
  </si>
  <si>
    <t>1차 반응의 반감기가 반응물의 농도에 의존하지 않음을 이해하고, 1차 반응의 반감기가 활용되는 사례를 조사⋅발표할 수 있다.</t>
  </si>
  <si>
    <t>적분 속도식을 유도하는 것은 다루지 않으며, 자료 해석을 통해 반감기를 찾도록 한다.</t>
  </si>
  <si>
    <t>[12물에04-03]</t>
  </si>
  <si>
    <t>화학 반응에서 유효 충돌과 활성화 에너지의 의미를 알고, 화학 반응이 일어나기 위한 조건에 관심을 가질 수 있다.</t>
  </si>
  <si>
    <t>[12물에04-04]</t>
  </si>
  <si>
    <t>농도, 온도, 촉매에 따라 반응 속도가 달라짐을 이해하고, 일상생활에서 각각의 예를 찾아 화학의 유용성을 인식할 수 있다.</t>
  </si>
  <si>
    <t>[12반응01-01]</t>
  </si>
  <si>
    <t>브뢴스테드-라우리 산과 염기의 정의를 이해하고, 이에 따라 산과 염기를 구별할 수 있다.</t>
  </si>
  <si>
    <t>브뢴스테드-라우리 산과 염기 정의의 확장성과 유용성을 다룬다.</t>
  </si>
  <si>
    <t>[12반응01-02]</t>
  </si>
  <si>
    <t>이온화 상수를 이용하여 산과 염기의 상대적인 세기를 추론하고, 약산과 약염기 수용액의 pH를 구할 수 있다.</t>
  </si>
  <si>
    <t>[12반응01-03]</t>
  </si>
  <si>
    <t>중화 적정 실험의 pH 변화를 데이터에 근거하여 해석할 수 있다.</t>
  </si>
  <si>
    <t>[12반응01-04]</t>
  </si>
  <si>
    <t>이온화 상수를 이용하여 염의 가수 분해를 설명할 수 있다.</t>
  </si>
  <si>
    <t>[12반응01-05]</t>
  </si>
  <si>
    <t>화학 평형으로 생체 내 완충 작용을 설명하고, 화학 원리의 신비로움을 느낄 수 있다.</t>
  </si>
  <si>
    <t>완충 작용을 설명할 때 복잡한 pH 계산은 지양하고, 생체 내 화학 반응에서 완충 용액의 중요성을 중심으로 다룬다.</t>
  </si>
  <si>
    <t>[12반응02-01]</t>
  </si>
  <si>
    <t>전자의 이동과 산화수 변화로 산화⋅환원 반응을 이해하고, 반쪽 반응식을 활용하여 산화⋅환원 반응식을 완성할 수 있다.</t>
  </si>
  <si>
    <t>산화⋅환원 반응은 동시에 일어남을 다룬다. 산화제와 환원제가 따로 정해져 있는 것이 아니라 특정 산화⋅환원 반응에서 상대적 세기에 의해 결정되는 것임을 강조한다.</t>
  </si>
  <si>
    <t>[12반응02-02]</t>
  </si>
  <si>
    <t>화학 전지의 발전 과정을 조사하여 실용 전지의 구조적 공통점을 추론할 수 있다.</t>
  </si>
  <si>
    <t>[12반응02-03]</t>
  </si>
  <si>
    <t>화학 전지의 원리를 산화⋅환원 반응으로 설명하고, 표준 환원 전위를 이용하여 전위차를 구할 수 있다.</t>
  </si>
  <si>
    <t>산화⋅환원 반응을 통하여 화학 에너지가 전기 에너지로 전환되는 원리를 다룬다.</t>
  </si>
  <si>
    <t>[12반응02-04]</t>
  </si>
  <si>
    <t>전기 분해의 원리를 산화⋅환원 반응으로 설명하고, 산업 현장에서 활용되는 전기 분해의 예를 조사하여 발표할 수 있다.</t>
  </si>
  <si>
    <t>[12반응02-05]</t>
  </si>
  <si>
    <t>생명 현상 및 화학 전지에서 이용되는 다양한 산화⋅환원 반응과 그 반응에 이용된 물질의 역할을 조사하여 화학의 신비로움을 느낄 수 있다.</t>
  </si>
  <si>
    <t>[12반응03-01]</t>
  </si>
  <si>
    <t>일상생활에 유용한 탄소 화합물을 작용기에 따라 분류할 수 있다.</t>
  </si>
  <si>
    <t>작용기는 알코올, 알데하이드, 카복실산만 다루고 작용기가 바뀌면 화합물의 성질도 바뀐다는 수준으로 다룬다.</t>
  </si>
  <si>
    <t>[12반응03-02]</t>
  </si>
  <si>
    <t>간단한 탄소 화합물의 화학 반응 예를 찾아 작용기의 변화로 설명할 수 있다.</t>
  </si>
  <si>
    <t>[12반응03-03]</t>
  </si>
  <si>
    <t>단위체의 중합 반응으로 다양한 고분자가 합성되는 것을 이해하여 화학 반응의 유용성을 인식할 수 있다.</t>
  </si>
  <si>
    <t>단백질, 핵산과 같은 천연 고분자뿐만 아니라 합성 고분자도 단위체의 반복적 결합으로 만들어진다는 것을 이해하는 수준으로 다룬다.</t>
  </si>
  <si>
    <t>[12반응03-04]</t>
  </si>
  <si>
    <t>탄소 화합물의 반응을 통해 합성된 새로운 물질이 과학⋅기술⋅사회 발전에 끼친 영향을 조사하여 화학의 유용성을 깨달을 수 있다.</t>
  </si>
  <si>
    <t>[12세포01-01]</t>
  </si>
  <si>
    <t>탄수화물과 지질의 종류와 주요 기능을 이해하고 생물체에 들어있는 탄수화물과 지질을 관찰할 수 있다.</t>
  </si>
  <si>
    <t>탄수화물과 지질 관찰은 주변 생물 재료를 활용하도록 하며, 탄수화물, 지질, 핵산, 단백질의 화학적 구조는 화학식으로 다루기보다는 간단한 형태로 다루고, 물질들의 중요 특성과 기능을 이해하는 수준에서 다룬다.</t>
  </si>
  <si>
    <t>[12세포01-02]</t>
  </si>
  <si>
    <t>핵산과 단백질의 기본 구조와 세포에서의 주요 기능을 조사하여 설명할 수 있다.</t>
  </si>
  <si>
    <t>[12세포01-03]</t>
  </si>
  <si>
    <t>동물세포와 식물세포를 구성하는 세포 소기관의 구조와 기능을 이해하고, 세포 소기관들의 유기적 관계를 추론하여 협력적으로 소통할 수 있다.</t>
  </si>
  <si>
    <t>세포 소기관의 구조와 기능은 전자현미경을 포함한 다양한 현미경의 이용, 세포 분획법, 자기 방사법 등의 방법으로 알아낼 수 있음을 이해하도록 하고, 세포 소기관의 유기적 관계는 물질의 합성과 분비를 중심으로 다루도록 한다.</t>
  </si>
  <si>
    <t>[12세포01-04]</t>
  </si>
  <si>
    <t>원핵세포와 진핵세포의 공통점과 차이점을 설명할 수 있다.</t>
  </si>
  <si>
    <t>원핵세포와 진핵세포의 차이를 DNA, 세포 내 막 구조, 리보솜, 세포벽을 중심으로 다룬다.</t>
  </si>
  <si>
    <t>[12세포01-05]</t>
  </si>
  <si>
    <t>세포막의 구조와 특성을 이해하고, 세포막을 통한 물질 수송 과정을 추론할 수 있다.</t>
  </si>
  <si>
    <t>[12세포02-01]</t>
  </si>
  <si>
    <t>물질대사는 생명체에서 생명을 유지하기 위해 일어나는 화학 반응임을 이해하고 에너지의 출입이 동반됨을 추론할 수 있다.</t>
  </si>
  <si>
    <t>물질대사 과정에서 효소를 이용한 화학 반응이 일어나며, 에너지 출입을 통한 생명 활동 과정에서 균형있는 에너지 섭취와 소비의 중요성을 다룬다.</t>
  </si>
  <si>
    <t>[12세포02-02]</t>
  </si>
  <si>
    <t>생명 활동에 필요한 에너지를 공급하는 과정에서 광합성과 세포호흡 그리고 ATP의 역할을 설명할 수 있다.</t>
  </si>
  <si>
    <t>세포호흡을 통한 물질 분해 및 에너지 생성 과정, 광합성에서는 물질 합성 및 에너지 저장 과정에 중점을 두어 다룬다.</t>
  </si>
  <si>
    <t>[12세포02-03]</t>
  </si>
  <si>
    <t>효소의 종류와 특성을 이해하고 효소의 활성에 영향을 미치는 요인에 대한 실험을 설계하여 수행할 수 있다.</t>
  </si>
  <si>
    <t>효소의 작용에 영향을 미치는 요인들에 대해 스스로 변인을 설정하여 실험을 설계하고 수행할 수 있도록 지도한다.</t>
  </si>
  <si>
    <t>[12세포02-04]</t>
  </si>
  <si>
    <t>효소의 작용 기작을 이해하고, 생명체 내에서 일어나는 효소 작용의 중요성에 대해 다양한 매체를 활용하여 협력적으로 소통할 수 있다.</t>
  </si>
  <si>
    <t>[12세포02-05]</t>
  </si>
  <si>
    <t>효소가 우리 생활이나 산업에 다양하게 이용되는 사례를 조사하여 발표할 수 있다.</t>
  </si>
  <si>
    <t>[12세포03-01]</t>
  </si>
  <si>
    <t>미토콘드리아의 구조를 이해하고 생명체 내에서의 미토콘드리아의 기능을 추론할 수 있다.</t>
  </si>
  <si>
    <t>[12세포03-02]</t>
  </si>
  <si>
    <t>세포호흡 과정의 단계별 특징을 다양한 매체를 활용하여 협력적으로 소통할 수 있다.</t>
  </si>
  <si>
    <t>세포호흡과 광합성 과정이 효소에 의해 조절되는 일련의 화학 반응임을 이해하도록 하며, 세포호흡과 광합성의 탄소 고정반응 과정에서 유기물의 분자 구조식은 다루지 않도록 한다.</t>
  </si>
  <si>
    <t>[12세포03-03]</t>
  </si>
  <si>
    <t>세포호흡 과정에서의 인산화 과정을 기질 수준의 인산화와 산화적 인산화 과정으로 구분할 수 있다.</t>
  </si>
  <si>
    <t>세포호흡과 광합성 과정이 효소에 의해 조절되는 일련의 화학 반응임을 이해하도록 하며, 세포호흡과 광합성의 탄소 고정반응 과정에서 유기물의 분자 구조식은 다루지 않도록 한다. 산화적 인산화 과정에서 화학 삼투에 의해 ATP가 합성된다는 수준 정도를 다루도록 한다.</t>
  </si>
  <si>
    <t>[12세포03-04]</t>
  </si>
  <si>
    <t>산소호흡과 발효의 공통점과 차이점을 이해하고, 실생활에서 발효를 이용한 사례 조사 계획을 세워 조사할 수 있다.</t>
  </si>
  <si>
    <t>[12세포03-05]</t>
  </si>
  <si>
    <t>엽록체의 구조를 이해하고 기능과 관련지어 설명할 수 있다.</t>
  </si>
  <si>
    <t>[12세포03-06]</t>
  </si>
  <si>
    <t>광합성의 명반응과 탄소 고정반응을 단계별로 구분하여 특징을 이해하고 두 반응의 상호 관계를 추론할 수 있다.</t>
  </si>
  <si>
    <t>[12세포03-07]</t>
  </si>
  <si>
    <t>광합성과 세포호흡의 전자 전달계를 비교하여 공통점과 차이점을 다양한 매체를 활용하여 설명할 수 있다.</t>
  </si>
  <si>
    <t>세포호흡과 광합성 과정이 효소에 의해 조절되는 일련의 화학 반응임을 이해하도록 하며, 세포호흡과 광합성의 탄소 고정반응 과정에서 유기물의 분자 구조식은 다루지 않도록 한다. 광합성과 세포호흡의 전자 전달 과정에서 이루어지는 인산화 반응을 에너지, 효소, 산화⋅환원 반응 중심으로 다루도록 한다.</t>
  </si>
  <si>
    <t>[12세포03-08]</t>
  </si>
  <si>
    <t>광합성 관련 과학사적 연구 결과를 조사하여 시각화 자료를 창의적으로 제작하여 협력적으로 소통할 수 있다.</t>
  </si>
  <si>
    <t>[12유전01-01]</t>
  </si>
  <si>
    <t>유전 형질이 유전자를 통해 자손에게 유전됨을 이해하고, 상염색체 유전과 성염색체 유전 양상의 차이를 설명할 수 있다.</t>
  </si>
  <si>
    <t>유전 형질을 다룰 때, 과학적으로 명확하게 증명된 사례를 도입하여 유전자와 유전 형질의 관계를 다루도록 한다.</t>
  </si>
  <si>
    <t>[12유전01-02]</t>
  </si>
  <si>
    <t>사람 유전 연구 방법의 어려움을 이해하고, 사람의 유전 현상 분석을 근거로 유전 형질의 유전적 특성을 추론할 수 있다.</t>
  </si>
  <si>
    <t>[12유전01-03]</t>
  </si>
  <si>
    <t>사람의 다유전자유전에 대해 이해하고, 유전 현상의 다양성 사례를 조사하여 과학적 근거를 활용하여 협력적으로 소통할 수 있다.</t>
  </si>
  <si>
    <t>사람의 다유전자유전 사례에 초점을 두기보다는 사람의 유전 대부분이 다유전자유전에 의해 이루어지고 있다는 의미에 초점을 두도록 한다.</t>
  </si>
  <si>
    <t>[12유전01-04]</t>
  </si>
  <si>
    <t>염색체와 유전자 이상에 대해 이해하고, 사람의 유전병을 발병 원인별 조사 계획을 세워 조사할 수 있다.</t>
  </si>
  <si>
    <t>[12유전01-05]</t>
  </si>
  <si>
    <t>DNA의 구조와 유전물질 규명 관련 과학사적 연구 결과를 설명하기 위한 발표 자료를 창의적으로 제작할 수 있다.</t>
  </si>
  <si>
    <t>[12유전01-06]</t>
  </si>
  <si>
    <t>원핵세포와 진핵세포의 유전자 구조와 유전체 구성을 이해하고, 공통점과 차이점을 비교하여 설명할 수 있다.</t>
  </si>
  <si>
    <t>[12유전01-07]</t>
  </si>
  <si>
    <t>반보존적 DNA 복제 과정을 이해하고 그 의미를 추론하여 협력적으로 소통할 수 있다.</t>
  </si>
  <si>
    <t>반보존적 복제의 구체적인 분자생물학적 기작보다는 반보존적 복제가 갖는 의미를 중심으로 다루며, DNA의 반보존적 복제를 다룰 때, RNA 프라이머나 관여하는 효소의 기능 등을 상세히 다루기보다는 용어 수준에서 다루도록 한다.</t>
  </si>
  <si>
    <t>[12유전02-01]</t>
  </si>
  <si>
    <t>전사와 번역 과정을 거쳐 유전자가 발현되는 중심원리를 이해하고, 모형을 이용하여 유전자 발현 과정을 설명할 수 있다.</t>
  </si>
  <si>
    <t>[12유전02-02]</t>
  </si>
  <si>
    <t>유전 부호를 이해하고, 유전 부호 표를 사용하여 유전 정보를 해독할 수 있다.</t>
  </si>
  <si>
    <t>[12유전02-03]</t>
  </si>
  <si>
    <t>원핵생물과 진핵생물의 유전자 발현 조절 과정을 비교하기 위한 설명 자료를 다양한 매체를 활용하여 제작할 수 있다.</t>
  </si>
  <si>
    <t>원핵생물의 전사 조절 과정을 주로 다루고, 진핵생물의 경우는 원핵생물의 전사 조절과의 다른 점만을 간략하게 다루도록 한다.</t>
  </si>
  <si>
    <t>[12유전02-04]</t>
  </si>
  <si>
    <t>생물의 발생 과정에서 세포 분화가 유전자 발현 조절 과정을 통해 일어남을 추론할 수 있다.</t>
  </si>
  <si>
    <t>생물의 발생 초기 단계의 유전자 발현 조절 과정을 다루도록 한다.</t>
  </si>
  <si>
    <t>[12유전02-05]</t>
  </si>
  <si>
    <t>생물의 유전자 발현 조절 및 발생에 대한 연구가 인류 복지에 기여한 사례를 조사하여 협력적으로 소통할 수 있다.</t>
  </si>
  <si>
    <t>[12유전03-01]</t>
  </si>
  <si>
    <t>생명공학기술 발달 과정에서의 주요 사건을 조사하고 다양한 매체를 활용하여 발표할 수 있다.</t>
  </si>
  <si>
    <t>생명공학기술의 발달 과정에서의 주요 사건이 가져온 기술 발달뿐만 아니라 성과를 우리 생활과 관련된 사례를 중심으로 다루어 흥미를 유발하도록 한다.</t>
  </si>
  <si>
    <t>[12유전03-02]</t>
  </si>
  <si>
    <t>단일클론항체, 줄기세포, 유전자 편집 기술이 난치병 치료에 활용된 사례를 조사하고, 이러한 치료법의 전망에 대해 협력적으로 소통할 수 있다.</t>
  </si>
  <si>
    <t>생명공학기술의 원리 중심보다는 우리 생활과 밀접한 사례를 중심으로 생명공학기술 활용 사례 및 관련 새로운 학문 분야와 직업을 조사하도록 하여 학생들의 흥미를 유도하도록 한다.</t>
  </si>
  <si>
    <t>[12유전03-03]</t>
  </si>
  <si>
    <t>생명공학기술 관련 학문 분야를 이해하고 우리 생활과 산업에 활용 사례를 조사하여 창의적으로 설명 자료를 제작할 수 있다.</t>
  </si>
  <si>
    <t>[12유전03-04]</t>
  </si>
  <si>
    <t>유전자 변형 생물체(LMO)의 특징을 이해하고 인간과 생태계에 미치는 영향을 추론할 수 있다.</t>
  </si>
  <si>
    <t>생명공학의 발달 과정에서 나타나는 생태적, 윤리적, 제도적, 사회적 문제점을 이해하고, 미래 사회에 미칠 영향을 예측하여 발표하도록 한다.</t>
  </si>
  <si>
    <t>[12유전03-05]</t>
  </si>
  <si>
    <t>생명공학기술의 활용 과정에서 나타나는 문제점과 이에 대한 사회적 책임을 인식하고 생명윤리 쟁점에 대해 의사 결정할 수 있다.</t>
  </si>
  <si>
    <t>[12지시01-01]</t>
  </si>
  <si>
    <t>지구의 탄생 이후 지구 대기, 원시 바다, 생명체 탄생 등의 과정을 통한 지구시스템 각 권역의 형성 과정을 추론할 수 있다.</t>
  </si>
  <si>
    <t>지구 생명체 탄생 이전의 권역 형성을 다룬다. 원시 태양계 성운에서 행성계인 태양계가 형성되는 물리적 과정(응축, 집적, 분화)을 알아보고, 행성으로서 지구가 탄생하고 진화하는 모습을 설명한다. 마그마 바다에서 화성암이 형성됨을 다루고 이후 냉각 과정에서의 상호작용을 다룬다.</t>
  </si>
  <si>
    <t>[12지시01-02]</t>
  </si>
  <si>
    <t>지구시스템이 진화해온 역사에서 물, 탄소, 산소의 순환 과정을 통해 지권, 수권, 기권이 변화해 왔음을 추적할 수 있다.</t>
  </si>
  <si>
    <t>생명체 탄생 이후 생명체와 지구계의 상호작용을 중심으로 다룬다. 산소의 순환은 남세균과 호상철광층의 형성, 탄소의 순환은 얼음덩어리 지구와 석회암의 퇴적, 물의 순환은 풍화, 침식, 퇴적 작용과 지형의 형성을 다룬다. 그리고 이 과정에서 생명과 행성의 공진화 개념을 다루어 환경과 생명의 소중함을 인식하도록 한다.</t>
  </si>
  <si>
    <t>[12지시01-03]</t>
  </si>
  <si>
    <t>판구조론의 발달사와 관련지어 판을 움직이는 맨틀의 상부 운동과 플룸에 의한 구조 운동을 구분할 수 있다.</t>
  </si>
  <si>
    <t>상부 맨틀의 대류에 의한 판 운동과 맨틀-핵의 경계에서 올라오는 플룸 운동을 구분하여 이해하며, 플룸 상승류의 사례로 열점을 설명한다. 판을 움직이는 힘의 경우, 맨틀 대류에 의한 수동적인 움직임으로 설명하기보다는, 판을 움직이는 능동적인 힘(섭입하는 판이 당기는 힘, 해령에서 미는 힘 등)에 관해 다룬다.</t>
  </si>
  <si>
    <t>[12지시01-04]</t>
  </si>
  <si>
    <t>암석의 순환 과정에서 화산 활동의 역할과 화산 활동으로 생성되는 암석의 특성을 추론할 수 있다.</t>
  </si>
  <si>
    <t>마그마의 특성에 따라 순상화산과 성층화산으로 화산체의 형태를 분류하며, 분출되는 물질의 종류가 달라짐을 다룬다. 편광현미경을 이용한 화산암과 심성암 박편 관찰을 통해 화산암의 유리질, 반상조직과 심성암의 조립질을 비교⋅관찰하는 정도만 다루며, 광학적 성질에 대해서는 다루지 않는다.</t>
  </si>
  <si>
    <t>[12지시01-05]</t>
  </si>
  <si>
    <t>지진파의 종류와 특성을 이해하고, 지진파를 이용하여 지구 내부구조를 알아내는 과정을 탐구할 수 있다.</t>
  </si>
  <si>
    <t>지진파 단층 촬영 결과를 이용하여 알아낸 지구 내부구조를 함께 다룬다.</t>
  </si>
  <si>
    <t>[12지시02-01]</t>
  </si>
  <si>
    <t>에크만 수송과 관련지어 지형류의 발생 원리를 설명할 수 있다.</t>
  </si>
  <si>
    <t>지구 규모의 해수 순환에 대한 정성적 이해를 바탕으로, 수압 경도력과 전향력에 의한 정역학 평형을 학습하여 해수를 움직이는 힘을 정량적으로 이해하도록 한다.</t>
  </si>
  <si>
    <t>[12지시02-02]</t>
  </si>
  <si>
    <t>해파의 발생 과정을 이해하고, 천해파와 심해파의 차이점을 비교⋅설명할 수 있다.</t>
  </si>
  <si>
    <t>해파는 해수면이 주기적으로 상하 운동하면서 에너지를 전파하는 현상으로 바닷물이 직접 이동하는 것은 아니라는 사실을 이해시킨다. 이때 심해파와 천해파의 중간 영역(전이파)에 대한 개념을 간단히 다룬다.</t>
  </si>
  <si>
    <t>[12지시02-03]</t>
  </si>
  <si>
    <t>해일이 발생하는 여러 가지 원인을 이해하고, 피해 사례와 대처 방안을 제안할 수 있다.</t>
  </si>
  <si>
    <t>해일 발생 당시의 기압, 만조 시기, 해안 및 해저 지형에 따라서도 해일의 피해가 달라질 수 있음을 이해한다.</t>
  </si>
  <si>
    <t>[12지시02-04]</t>
  </si>
  <si>
    <t>조석의 발생 과정을 이해하고 자료 해석을 통해 각 지역에서의 조석 양상을 설명할 수 있다.</t>
  </si>
  <si>
    <t>기조력을 정성적으로 도입하고 평형 조석론 정도만 다루며, 달에 의한 기조력이 태양보다 2배 정도 크다는 것을 다룬다.</t>
  </si>
  <si>
    <t>[12지시03-01]</t>
  </si>
  <si>
    <t>대기를 구성하는 기체들이 선택적 흡수체임을 이해하고, 온실효과 및 태양 자외선 차단 효과, 물의 존재 등으로 지구 생명체 존재 조건을 추론할 수 있다.</t>
  </si>
  <si>
    <t>생명가능지대로서의 지구, 즉 지구에 물이 존재함으로써 생명체가 발생하고 존재할 수 있는 이유에 대한 근거를 다룬다.</t>
  </si>
  <si>
    <t>[12지시03-02]</t>
  </si>
  <si>
    <t>지표와 대기의 열 출입과 관련된 물리 과정 및 전 지구 평균 열수지를 해석할 수 있다.</t>
  </si>
  <si>
    <t>지표와 대기의 열 출입을 물리 과정, 즉 산란, 반사, 흡수, 굴절 등으로 설명한다. 에너지(열) 수지를 다루면서 잠열의 효과가 가장 크다는 것을 파악함으로써 구름 생성을 위한 단열변화로 연결한다.</t>
  </si>
  <si>
    <t>[12지시03-03]</t>
  </si>
  <si>
    <t>기온의 연직 분포와 대기의 안정도와의 관계를 이해하고, 단열변화를 통해 안개나 구름이 생성되는 과정 및 강수 과정을 분석할 수 있다.</t>
  </si>
  <si>
    <t>단열변화에서 기온과 습도의 변화를 이해하고, 단열변화와 단열 감률을 고려한 대기의 안정도를 구름의 생성과 관련지어 다룬다.</t>
  </si>
  <si>
    <t>[12지시03-04]</t>
  </si>
  <si>
    <t>기압의 연직 분포로 정역학적 균형을 이해하고, 대기 중 연직 운동의 발생 원인을 추론할 수 있다.</t>
  </si>
  <si>
    <t>수평 운동으로서 대기의 운동을 이해하기 위해 정역학 평형, 바람에 작용하는 힘들에 관한 개념 학습을 토대로 지상풍, 지균풍, 경도풍, 태양 상수, 편서풍 파동 등의 개념을 이해하고, 지상과 상층의 바람, 편서풍 파동(제트류), 대기 대순환 등을 시스템적으로 설명한다.</t>
  </si>
  <si>
    <t>[12지시03-05]</t>
  </si>
  <si>
    <t>지균풍, 경도풍, 지상풍의 발생 원리와 관련된 힘의 작용을 설명할 수 있다.</t>
  </si>
  <si>
    <t>[12지시03-06]</t>
  </si>
  <si>
    <t>행성파의 발달 과정을 이해하고, 지상 고⋅저기압 발달에서 편서풍 파동의 역할을 평가할 수 있다.</t>
  </si>
  <si>
    <t>[12행우01-01]</t>
  </si>
  <si>
    <t>태양계 탐사선의 활동을 통해 알아낸 성과를 이해하고, 인공위성을 활용한 우주탐사의 필요성을 토론할 수 있다.</t>
  </si>
  <si>
    <t>최근의 태양계 탐사선 탐사 결과로부터 새롭게 밝혀진 사실을 중심으로 다룬다. 태양계 탐사선과 관련하여 행성 탐사선, 소천체 탐사선 등의 활동과 성과를 다룬다. 우리나라의 우주개발 성과와 계획을 간략히 소개한다.</t>
  </si>
  <si>
    <t>[12행우01-02]</t>
  </si>
  <si>
    <t>태양 활동 감시 시스템과 지구 접근 천체를 비롯한 지구를 위협하는 우주 위험 감시 기술의 중요성을 우주 재난 측면에서 인식할 수 있다.</t>
  </si>
  <si>
    <t>우주 위험 감시 기술과 관련하여 우주기상, 소천체 충돌, 우주 쓰레기 등의 문제를 다룬다.</t>
  </si>
  <si>
    <t>[12행우01-03]</t>
  </si>
  <si>
    <t>태양계를 지배하는 힘이 태양의 중력임을 이해하고, 케플러의 세 가지 법칙을 이용하여 태양계 구성 천체들의 운동을 설명할 수 있다.</t>
  </si>
  <si>
    <t>케플러의 세 가지 법칙에서 각 법칙의 물리적 의미를 다루고, 태양계의 모든 천체에 케플러의 법칙이 적용된다는 사실을 설명할 수 있도록 한다.</t>
  </si>
  <si>
    <t>[12행우01-04]</t>
  </si>
  <si>
    <t>행성과 소천체의 정의를 구분하여 이해하고, 소천체 탐사 자료를 통해 이들의 특징을 추론할 수 있다.</t>
  </si>
  <si>
    <t>소천체에 속하는 왜소행성, 소행성, 혜성, 운석 등을 설명하고, 이들을 태양계 원시 물질로 구성된 천체와 분화된 천체로 구분할 수 있음을 다룬다.</t>
  </si>
  <si>
    <t>[12행우01-05]</t>
  </si>
  <si>
    <t>외계 행성계 탐사의 원리를 이해하고, 외계 행성에 생명체가 존재할 수 있는 조건과 외계 생명체의 존재 가능성에 대해 논증할 수 있다.</t>
  </si>
  <si>
    <t>외계 행성계에서의 생명가능지대가 중심별의 표면 온도 등에 의해 결정된다는 것을 설명하며, 생명가능지대가 액체 상태의 물이 존재할 수 있는 범위로 설정된다는 사실을 통해 물이 생명 현상의 중요한 요소임을 이해하도록 한다.</t>
  </si>
  <si>
    <t>[12행우02-01]</t>
  </si>
  <si>
    <t>태양의 광구와 대기에서 나타나는 현상을 설명하고, 이러한 현상이 다양한 파장의 관측 자료에서 어떻게 나타나는지 비교⋅분석할 수 있다.</t>
  </si>
  <si>
    <t>태양 광구에서 흑점과 쌀알 무늬가 나타나는 이유를 이해하고, 흑점의 관측 자료로부터 태양 활동의 주기와 차등 자전을 설명한다. 태양의 위성 영상자료를 컴퓨터로 합성하는 활동을 통해 태양의 차등 자전을 이해한다.</t>
  </si>
  <si>
    <t>[12행우02-02]</t>
  </si>
  <si>
    <t>별의 시차와 밝기를 이용하여 거리를 측정하는 다양한 방법을 비교⋅평가할 수 있다.</t>
  </si>
  <si>
    <t>별의 연주시차를 이용하여 거리를 계산하는 방법을 다루고, 별의 겉보기 등급과 절대등급을 이용하여 거리를 계산하는 방법(거리지수)을 설명한다.</t>
  </si>
  <si>
    <t>[12행우02-03]</t>
  </si>
  <si>
    <t>별의 시선속도와 접선속도의 합으로 공간 운동이 나타남을 이해하고, 별자리를 구성하는 별들의 장시간에 걸친 형태 변화를 추론할 수 있다.</t>
  </si>
  <si>
    <t>별의 접선속도와 시선속도를 관측하여 공간 운동을 계산할 수 있음을 소개하고, 별자리를 구성하는 별들이 물리적인 연관성은 없지만, 시선 방향의 범위가 비슷한 별들의 집단임을 이해하도록 한다.</t>
  </si>
  <si>
    <t>[12행우02-04]</t>
  </si>
  <si>
    <t>쌍성의 관측 자료를 이용하여 항성의 질량을 직접적으로 구할 수 있음을 이해하고, 질량-광도 관계를 이용하여 쌍성이 아닌 별의 질량을 구할 수 있다.</t>
  </si>
  <si>
    <t>케플러의 법칙을 쌍성계에 적용하여 쌍성계의 주기와 장반경으로부터 쌍성계를 구성하는 별의 질량을 구하는 과정을 이상적인 조건에 대해서만 다룬다.</t>
  </si>
  <si>
    <t>[12행우02-05]</t>
  </si>
  <si>
    <t>광도곡선의 특징을 비교하여 맥동변광성과 폭발 변광성을 구분하고, 폭발 변광성 중 초신성 관측 자료를 통해 알 수 있는 과학적 사실을 추론할 수 있다.</t>
  </si>
  <si>
    <t>변광성의 관측 자료를 제시하여 맥동변광성과 폭발 변광성을 구분하게 하며, 맥동변광성의 맥동 기작은 다루지 않는다. 초신성의 종류와 초신성 폭발 과정은 다루지 않는다.</t>
  </si>
  <si>
    <t>[12행우03-01]</t>
  </si>
  <si>
    <t>성단의 C-M도를 이용하여 성단의 나이와 거리를 비교하고, 맥동변광성의 주기-광도 관계를 이용하여 우리은하의 구조와 규모를 추론할 수 있다.</t>
  </si>
  <si>
    <t>성단은 C-M도를 도입하여 설명하며, 성단의 주계열 맞추기를 이용하여 거리를 구하는 방법을 다룬다. 세페이드 변광성의 주기-광도 관계를 이용하여 우리은하의 규모를 계산하는 방법을 이해할 수 있도록 한다.</t>
  </si>
  <si>
    <t>[12행우03-02]</t>
  </si>
  <si>
    <t>성간 소광 자료를 통해 성간 티끌의 존재를 추론하고, 성간 티끌의 특징을 설명할 수 있다.</t>
  </si>
  <si>
    <t>성간 기체가 다양한 상태로 분포하고 있음을 설명하고, 성간 소광에 의해 천체의 거리가 실제와 다르게 측정될 수 있음을 알고 관측 결과를 보정해야 하는 이유를 다룬다.</t>
  </si>
  <si>
    <t>[12행우03-03]</t>
  </si>
  <si>
    <t>은하의 회전 속도 곡선을 이용하여 질량 분포를 이해하고 은하에 빛을 내지 않는 물질의 존재를 추론할 수 있다.</t>
  </si>
  <si>
    <t>우리은하의 회전 속도 곡선으로부터 계산된 질량과 별의 광도로부터 추정한 은하의 질량이 일치하지 않는다는 사실로부터 빛을 내지 않는 물질의 존재 가능성을 이해할 수 있도록 한다.</t>
  </si>
  <si>
    <t>[12행우03-04]</t>
  </si>
  <si>
    <t>대규모로 이루어진 외부은하의 적색 편이 탐사의 성과를 이해하고, 은하의 공간 분포를 파악함에 있어서 분광 관측 자료의 중요성을 인식할 수 있다.</t>
  </si>
  <si>
    <t>다양한 전천 탐사의 성과를 간략히 소개하고, 이로부터 알아낸 은하의 공간 분포를 이해할 수 있도록 한다. 은하군 및 은하단, 초은하단의 특징을 설명하고, 초은하단과 보이드는 우주 팽창의 영향을 받는 규모임을 간략히 다룬다.</t>
  </si>
  <si>
    <t>[12행우03-05]</t>
  </si>
  <si>
    <t>은하의 공간 분포 자료를 통해 은하의 집단을 이해하고, 은하 장성, 보이드 등 우주의 거시적인 구조를 현대 우주론과 관련지어 설명할 수 있다.</t>
  </si>
  <si>
    <t>[12과사01-01]</t>
  </si>
  <si>
    <t>인류 문명의 탄생 과정에서 인류의 지혜가 담긴 과학적 사례를 발견하고, 이를 통해 과학이 인류 문명의 형성 과정에 기여하였음을 이해할 수 있다.</t>
  </si>
  <si>
    <t>[12과사01-02]</t>
  </si>
  <si>
    <t>고대 그리스 철학자의 과학적 사고나 주장 등을 조사하고, 그리스 문명이 고대에서 현대에 이르기까지 인간의 삶에 미친 영향을 설명할 수 있다.</t>
  </si>
  <si>
    <t>고대 그리스 시대의 우주관과 자연관을 이해하고, 고대 그리스 철학자들의 생각이 오늘날 과학이나 예술, 철학 등 다양한 분야에서 어떻게 활용되고 있는지 조사하도록 한다.</t>
  </si>
  <si>
    <t>[12과사01-03]</t>
  </si>
  <si>
    <t>중세 시대 유럽과 중동 지역을 중심으로 종교나 문화가 과학에 기여한 바를 이해하고, 고대 그리스의 과학과 중세 과학의 특징을 비교할 수 있다.</t>
  </si>
  <si>
    <t>[12과사01-04]</t>
  </si>
  <si>
    <t>르네상스와 과학혁명이 일어난 사회문화적 배경을 조사하고, 과학과 예술 사이의 융합적 사례를 설명할 수 있다.</t>
  </si>
  <si>
    <t>예술 작품에 등장하는 과학적 소재나 창작 과정에서 나타난 과학적 개념이나 원리를 탐색하도록 한다.</t>
  </si>
  <si>
    <t>[12과사01-05]</t>
  </si>
  <si>
    <t>과학 지식의 형성 과정에서 과학자의 신념이나 세계관이 영향을 준 사례를 조사하여 발표할 수 있다.</t>
  </si>
  <si>
    <t>[12과사02-01]</t>
  </si>
  <si>
    <t>상대성 이론 등과 같은 현대 과학의 등장이 당시의 사회문화에 끼친 영향을 이해함으로써 과학의 사회적 가치를 느낄 수 있다.</t>
  </si>
  <si>
    <t>[12과사02-02]</t>
  </si>
  <si>
    <t>현대 과학의 등장 과정에서 나타난 과학자들의 논쟁이나 토론 사례를 조사하고, 과학적 의사소통에서 지켜야 할 규범과 태도를 이해할 수 있다.</t>
  </si>
  <si>
    <t>[12과사02-03]</t>
  </si>
  <si>
    <t>현대 예술 작품이나 건축물에 과학적 원리가 적용된 사례를 조사하고, 과학과 문화의 관련성을 추론할 수 있다.</t>
  </si>
  <si>
    <t>[12과사02-04]</t>
  </si>
  <si>
    <t>감염병이 사회에 영향을 미친 대표적인 사례를 찾고, 과학이 사회 문제 해결에 기여함을 인식할 수 있다.</t>
  </si>
  <si>
    <t>근대 사회 등장 이래 우리나라뿐만 아니라 유럽 및 세계 전역에서 유행했던 감염병을 조사하고, 감염병 등장이 미친 사회 변화와 이러한 문제를 극복하는 과정에서 과학의 역할을 조사하여 능동적으로 문제를 발견하고 해결하는 자세를 갖도록 한다.</t>
  </si>
  <si>
    <t>[12과사02-05]</t>
  </si>
  <si>
    <t>과학기술이 교통수단의 발달에 미친 영향을 인식하고, 교통수단의 발전이 가져올 미래 사회의 변화를 예측할 수 있다.</t>
  </si>
  <si>
    <t>[12과사02-06]</t>
  </si>
  <si>
    <t>산업혁명 이후 나타난 과학기술이 인류 문명에 미친 긍정적 효과와 부정적 효과에 대해 토론할 수 있다.</t>
  </si>
  <si>
    <t>산업혁명 이후 화학 무기, 원자력, 유전자 재조합 등의 과학기술 발전으로 발생한 사회적 갈등을 알아봄으로써 과학기술이 갖는 양면성을 이해하고, 새롭게 등장하는 과학기술에 대해 균형적으로 판단할 수 있는 시야를 갖도록 한다.</t>
  </si>
  <si>
    <t>[12과사03-01]</t>
  </si>
  <si>
    <t>과학기술의 발전을 통해 새롭게 나타난 문화적 변화를 찾아보고, 과학을 주제로 하는 예술 작품이나 콘텐츠를 제작하여 발표할 수 있다.</t>
  </si>
  <si>
    <t>[12과사03-02]</t>
  </si>
  <si>
    <t>일상생활이나 미디어에서 사용되는 과학 용어를 조사하고, 과학 용어가 우리 사회에 미치는 파급효과를 설명할 수 있다.</t>
  </si>
  <si>
    <t>에너지나 DNA와 같은 과학 용어를 뉴스나 미디어 속에서 어떻게 활용하는지 찾아보고 과학적 맥락과 그 밖의 맥락에서 활용하는 용어의 의미를 서로 비교하여 차이점을 이해하도록 한다. 또한, 새로운 과학 용어를 다양한 사회 또는 자연 현상 설명에 활용한다는 점을 통해 과학적 아이디어를 다양한 상황이나 맥락에 적용하도록 한다.</t>
  </si>
  <si>
    <t>[12과사03-03]</t>
  </si>
  <si>
    <t>과학기술의 발전이 음악에 영향을 끼친 사례를 탐색하고 인공지능으로 음악을 창작하거나 로봇을 활용한 연주를 통해 과학의 심미적 가치를 느낄 수 있다.</t>
  </si>
  <si>
    <t>[12과사03-04]</t>
  </si>
  <si>
    <t>인간과 기계, 사물 등을 연결하는 과학기술의 발전 동향을 파악하고 미래 사회의 변화를 예측할 수 있다.</t>
  </si>
  <si>
    <t>[12과사03-05]</t>
  </si>
  <si>
    <t>가상 현실이나 증강 현실을 활용한 우리 주변의 사례를 조사하고, 이러한 기술이 미래 사회에 미칠 수 있는 영향에 대해 토론할 수 있다.</t>
  </si>
  <si>
    <t>[12과사03-06]</t>
  </si>
  <si>
    <t>집단적 의사결정을 통해 과학기술과 관련된 사회적 문제를 해결한 사례를 조사하여 과학기술에 대한 시민의 이해와 균형 있는 가치 판단의 필요성을 인식할 수 있다.</t>
  </si>
  <si>
    <t>[12기환01-01]</t>
  </si>
  <si>
    <t>날씨와 기후의 특성을 이해하고, 이를 비교하여 설명할 수 있다.</t>
  </si>
  <si>
    <t>기후를 결정하는 기후요소와 기후인자를 구분하여 이해하도록 한다.</t>
  </si>
  <si>
    <t>[12기환01-02]</t>
  </si>
  <si>
    <t>기후시스템이 유지되는 되먹임 과정을 이해하고 생물권과 다른 권역 간 상호작용을 설명할 수 있다.</t>
  </si>
  <si>
    <t>지구시스템의 기권, 수권, 지권과 생물권 간 상호작용을 이해하도록 한다.</t>
  </si>
  <si>
    <t>[12기환01-03]</t>
  </si>
  <si>
    <t>기후변화가 생태계와 우리의 생활환경에 영향을 미친 사례를 조사하여 발표할 수 있다.</t>
  </si>
  <si>
    <t>[12기환02-01]</t>
  </si>
  <si>
    <t>기후위기가 일어나는 주요 원인을 이해하고, 기후위기의 심각성을 인식할 수 있다.</t>
  </si>
  <si>
    <t>[12기환02-02]</t>
  </si>
  <si>
    <t>빙상의 융해와 열팽창으로 인한 해수면 상승을 기후변화와 연계하여 설명할 수 있다.</t>
  </si>
  <si>
    <t>[12기환02-03]</t>
  </si>
  <si>
    <t>극한 기상 현상의 종류와 원인을 이해하고 극한 기상 현상이 환경생태에 미친 영향을 사례를 들어 설명할 수 있다.</t>
  </si>
  <si>
    <t>[12기환02-04]</t>
  </si>
  <si>
    <t>기후변화 시나리오에 따른 미래 생태계 변화 예측 보고서를 찾아보고, 미래의 기후와 생태계의 변화 양상을 추론할 수 있다.</t>
  </si>
  <si>
    <t>[12기환02-05]</t>
  </si>
  <si>
    <t>꽃의 개화 시기 변화 자료를 조사하고, 꽃의 개화 시기 변화가 우리 생활에 끼치는 영향을 추론할 수 있다.</t>
  </si>
  <si>
    <t>[12기환02-06]</t>
  </si>
  <si>
    <t>꿀벌을 비롯한 곤충의 개체 수 감소 원인을 기후변화와 연계하여 설명할 수 있다.</t>
  </si>
  <si>
    <t>[12기환02-07]</t>
  </si>
  <si>
    <t>수생태계의 물꽃 현상을 이해하고, 기후변화가 수생태계의 생물다양성에 끼치는 영향을 추론할 수 있다.</t>
  </si>
  <si>
    <t>[12기환03-01]</t>
  </si>
  <si>
    <t>산호의 멸종으로 인한 백화현상의 예를 통해 기후변화가 해양생태계에 미치는 영향을 살펴보고, 바다 사막화를 예방하거나 복원할 수 있는 과학기술의 사례를 제시할 수 있다.</t>
  </si>
  <si>
    <t>[12기환03-02]</t>
  </si>
  <si>
    <t>기후변화에 따라 가속화되는 사막화, 대형산불, 지역적 가뭄과 홍수 등을 이해하고, 이를 극복하기 위한 인류의 노력에 대해 토의할 수 있다.</t>
  </si>
  <si>
    <t>[12기환03-03]</t>
  </si>
  <si>
    <t>탄소중립 사회를 이루기 위한 탄소 저감 관련 과학기술 개발 현황을 알아보고, 이의 적용 사례를 제시할 수 있다.</t>
  </si>
  <si>
    <t>[12기환03-04]</t>
  </si>
  <si>
    <t>기후위기와 환경생태 변화에 대응하기 위한 국제사회의 노력을 알아보고, 민주 시민으로서 참여 방안을 제안할 수 있다.</t>
  </si>
  <si>
    <t>국제사회의 생물다양성 협약, 기후변화에 관한 정부 간 협의체나 국제기구를 소개하고, 이들의 노력이나 체결된 국제 협약 등을 다룬다.</t>
  </si>
  <si>
    <t>[12기환02-08]</t>
  </si>
  <si>
    <t>모기나 파리와 같은 곤충 매개 감염병이 새롭게 출현하거나 급격히 확산되는 현상을 기후변화와 연계하여 설명할 수 있다.</t>
  </si>
  <si>
    <t>[12융탐01-01]</t>
  </si>
  <si>
    <t>과학이 다양한 분야와 연계하여 인류 사회의 문제해결에 기여하였음을 이해하고, 융합적 탐구의 유용성을 느낄 수 있다.</t>
  </si>
  <si>
    <t>현미경을 이용한 물질의 구조에 대한 분석, X-선 분광학 기술을 이용한 DNA 구조의 발견 등과 같이 다양한 분야의 과학기술이 서로 결합하여 과학의 발전을 가져온 사례 등을 다룬다.</t>
  </si>
  <si>
    <t>[12융탐01-02]</t>
  </si>
  <si>
    <t>예술에서의 창작이나 사회과학적 탐구 과정을 이해하고, 과학적 탐구 과정과의 공통점과 차이점을 비교할 수 있다.</t>
  </si>
  <si>
    <t>[12융탐01-03]</t>
  </si>
  <si>
    <t>과학적 탐구 과정에서 사용되는 다양한 데이터의 종류를 이해하고, 지식의 창출 과정에서 데이터의 가치와 중요성을 인식할 수 있다.</t>
  </si>
  <si>
    <t>[12융탐01-04]</t>
  </si>
  <si>
    <t>인공지능을 포함한 디지털 탐구 도구나 기술의 활용 사례를 조사하고, 과학적 탐구 과정에서 디지털 탐구 도구와 기술 활용의 의의를 평가할 수 있다.</t>
  </si>
  <si>
    <t>[12융탐02-01]</t>
  </si>
  <si>
    <t>실생활에서 관찰이나 경험을 통해 직접 얻은 데이터나 공개된 데이터를 가공하여 융합적 탐구 문제를 스스로 발견할 수 있다.</t>
  </si>
  <si>
    <t>[12융탐02-02]</t>
  </si>
  <si>
    <t>융합적 탐구 문제해결을 위한 가설이나 모형을 고안하고, 문제를 해결할 수 있는 방법이나 절차 등을 설계할 수 있다.</t>
  </si>
  <si>
    <t>[12융탐02-03]</t>
  </si>
  <si>
    <t>디지털 탐구 도구를 포함한 다양한 도구를 활용하여 데이터를 수집하고, 수집한 데이터의 타당성과 신뢰성을 평가할 수 있다.</t>
  </si>
  <si>
    <t>[12융탐02-04]</t>
  </si>
  <si>
    <t>융합적 탐구 과정을 통해 얻은 데이터를 탐구 목적이나 맥락에 맞게 시각 자료로 표현할 수 있다.</t>
  </si>
  <si>
    <t>표, 막대그래프, 히스토그램, 분산형 그래프 등 다양한 시각 자료의 특성을 이해하고 수집한 데이터를 적절한 형태로 시각화하도록 한다.</t>
  </si>
  <si>
    <t>[12융탐02-05]</t>
  </si>
  <si>
    <t>평균, 표준편차 등을 바탕으로 데이터의 특성을 파악하고, 이를 토대로 가설이나 모형을 평가할 수 있다.</t>
  </si>
  <si>
    <t>[12융탐02-06]</t>
  </si>
  <si>
    <t>데이터 분석 결과를 바탕으로 결론을 도출하고 평가할 수 있다.</t>
  </si>
  <si>
    <t>[12융탐02-07]</t>
  </si>
  <si>
    <t>다양한 표현 방법을 활용하여 융합적 탐구 문제, 과정, 결과, 결론 등을 효과적으로 발표하고 토론할 수 있다.</t>
  </si>
  <si>
    <t>[12융탐03-01]</t>
  </si>
  <si>
    <t>과학기술의 변화와 발전을 고려하여 미래 사회에 등장할 새로운 융합과학기술을 예측할 수 있다.</t>
  </si>
  <si>
    <t>[12융탐03-02]</t>
  </si>
  <si>
    <t>오늘날 인류가 겪고 있는 난제를 융합과학기술을 활용하여 해결할 수 있는 방안에 대해 토의할 수 있다.</t>
  </si>
  <si>
    <t>오늘날 인류가 직면한 식량이나 물 부족, 각종 자원의 고갈, 기후변화나 싱크홀 등과 같은 난제에 대해 융합과학기술을 통한 간학문적 문제 해결 방안에 대해 토의하도록 한다.</t>
  </si>
  <si>
    <t>[12융탐03-03]</t>
  </si>
  <si>
    <t>융합과학 탐구 과정에서 준수해야 할 윤리에 대해 알아보고, 과학기술의 발달에 따라 발생할 수 있는 윤리적 쟁점을 토론할 수 있다.</t>
  </si>
  <si>
    <t>[12융탐03-04]</t>
  </si>
  <si>
    <t>융합과학기술을 활용하여 사회 문제를 해결하는 과정에서 시민참여가 문제해결에 도움을 준 사례를 제시할 수 있다.</t>
  </si>
  <si>
    <t>[12전수01-01]</t>
  </si>
  <si>
    <t>삼각함수와 관련된 여러 가지 공식을 증명하고, 이를 활용할 수 있다.</t>
  </si>
  <si>
    <t>삼각함수의 합성, 배각의 공식, 반각의 공식, 삼각함수의 곱을 삼각함수의 합 또는 차의 꼴로 나타내는 공식, 삼각함수의 합 또는 차를 삼각함수의 곱의 꼴로 나타내는 공식을 다룬다.</t>
  </si>
  <si>
    <t>[12전수01-02]</t>
  </si>
  <si>
    <t>코시컨트함수, 시컨트함수, 코탄젠트함수의 그래프를 그리고, 그 성질을 설명할 수 있다.</t>
  </si>
  <si>
    <t>[12전수01-03]</t>
  </si>
  <si>
    <t>역삼각함수의 뜻과 성질을 이해하고, 그 그래프를 그릴 수 있다.</t>
  </si>
  <si>
    <t>아크사인함수, 아크코사인함수, 아크탄젠트함수, 아크코시컨트함수, 아크시컨트함수, 아크코탄젠트함수를 다룬다.</t>
  </si>
  <si>
    <t>[12전수01-04]</t>
  </si>
  <si>
    <t>코시컨트함수, 시컨트함수, 코탄젠트함수, 역삼각함수를 미분하고, 여러 가지 함수의 고계도함수를 구할 수 있다.</t>
  </si>
  <si>
    <t>다항함수, 지수함수와 로그함수, 삼각함수, 역삼각함수 등 다양한 함수의 고계도함수를 구하게 한다.</t>
  </si>
  <si>
    <t>[12전수01-05]</t>
  </si>
  <si>
    <t>로피탈의 정리를 이해하고, 이를 활용할 수 있다.</t>
  </si>
  <si>
    <t>[12전수01-06]</t>
  </si>
  <si>
    <t>구분구적법을 이해하고, 정적분의 뜻을 설명할 수 있다.</t>
  </si>
  <si>
    <t>[12전수01-07]</t>
  </si>
  <si>
    <t>다양한 적분 방법을 이용하여 여러 가지 함수의 부정적분과 정적분을 구할 수 있다.</t>
  </si>
  <si>
    <t>삼각함수의 거듭제곱의 곱으로 나타낸 함수의 적분, 삼각치환을 이용한 적분법, 유리함수의 적분을 다룬다. 유리함수를 부분분수의 형태로 나타내어 적분할 때, 임의의 다항함수는 1차 인수와 기약인 2차 인수의 곱으로 인수분해할 수 있음을 증명된 사실로 받아들이고 사용하게 한다.</t>
  </si>
  <si>
    <t>[12전수02-01]</t>
  </si>
  <si>
    <t>이차곡선의 뜻을 알고, 이차곡선을 방정식으로 표현할 수 있다.</t>
  </si>
  <si>
    <t>[12전수02-02]</t>
  </si>
  <si>
    <t>이차곡선의 접선의 방정식을 구할 수 있다.</t>
  </si>
  <si>
    <t>[12전수02-03]</t>
  </si>
  <si>
    <t>직선과 평면에 관한 여러 가지 명제를 증명하고, 이를 활용하여 문제를 해결할 수 있다.</t>
  </si>
  <si>
    <t>직선과 직선, 직선과 평면, 평면과 평면의 위치 관계, 삼수선 정리를 다룬다.</t>
  </si>
  <si>
    <t>[12전수02-04]</t>
  </si>
  <si>
    <t>도형의 정사영의 뜻을 알고, 도형과 정사영의 관계를 탐구할 수 있다.</t>
  </si>
  <si>
    <t>[12전수02-05]</t>
  </si>
  <si>
    <t>좌표공간에서 두 점 사이의 거리와 선분의 내분점, 외분점의 좌표, 구의 방정식을 구할 수 있다.</t>
  </si>
  <si>
    <t>[12전수02-06]</t>
  </si>
  <si>
    <t>벡터의 뜻을 알고, 벡터의 덧셈, 뺄셈, 실수배를 할 수 있다.</t>
  </si>
  <si>
    <t>[12전수02-07]</t>
  </si>
  <si>
    <t>위치벡터, 내적과 외적의 뜻을 알고, 이를 활용할 수 있다.</t>
  </si>
  <si>
    <t>벡터를 표현하는 방법에는 기하적 방법과 대수적 방법이 있음을 인식하게 한다.</t>
  </si>
  <si>
    <t>[12전수02-08]</t>
  </si>
  <si>
    <t>벡터를 이용하여 직선과 평면, 원과 구의 방정식을 구할 수 있다.</t>
  </si>
  <si>
    <t>[12전수03-01]</t>
  </si>
  <si>
    <t>여러 가지 순열과 중복조합을 이해하고, 그 순열의 수와 중복조합의 수를 구하는 방법을 설명할 수 있다.</t>
  </si>
  <si>
    <t>원순열, 중복순열, 같은 것이 있는 순열과 중복조합을 다룬다.</t>
  </si>
  <si>
    <t>[12전수03-02]</t>
  </si>
  <si>
    <t>이항정리를 이해하고, 이를 활용하여 문제를 해결할 수 있다.</t>
  </si>
  <si>
    <t>[12전수03-03]</t>
  </si>
  <si>
    <t>통계적 확률과 수학적 확률의 관계를 이해하고, 확률의 기본 성질을 설명할 수 있다.</t>
  </si>
  <si>
    <t>[12전수03-04]</t>
  </si>
  <si>
    <t>확률에 대한 여러 가지 개념과 정리를 이해하고, 이를 활용하여 문제를 해결할 수 있다.</t>
  </si>
  <si>
    <t>확률의 덧셈정리, 여사건의 확률, 조건부확률, 사건의 독립과 종속, 확률의 곱셈정리를 다룬다.</t>
  </si>
  <si>
    <t>[12전수03-05]</t>
  </si>
  <si>
    <t>확률변수와 확률분포의 뜻을 설명할 수 있다.</t>
  </si>
  <si>
    <t>[12전수03-06]</t>
  </si>
  <si>
    <t>이산확률변수의 기댓값(평균)과 표준편차를 구하고, 이항분포의 뜻과 성질을 이해하고, 평균과 표준편차를 구할 수 있다.</t>
  </si>
  <si>
    <t>[12전수03-07]</t>
  </si>
  <si>
    <t>연속확률변수의 기댓값(평균)과 표준편차를 구하고, 정규분포의 뜻과 성질을 이해하고, 정규분포와 이항분포의 관계를 설명할 수 있다.</t>
  </si>
  <si>
    <t>[12전수03-08]</t>
  </si>
  <si>
    <t>모집단과 표본의 뜻을 알고, 표본추출의 방법을 설명할 수 있다.</t>
  </si>
  <si>
    <t>[12전수03-09]</t>
  </si>
  <si>
    <t>표본평균과 모평균, 표본비율과 모비율의 관계를 이해하고 모평균 및 모비율을 추정할 수 있다.</t>
  </si>
  <si>
    <t>모평균 추정은 모집단의 분포가 정규분포인 경우만 다루고, 모비율의 추정은 표본의 크기가 큰 경우만 다룬다.</t>
  </si>
  <si>
    <t>[12이수01-01]</t>
  </si>
  <si>
    <t>원순열, 염주순열, 중복순열, 같은 것이 있는 순열을 이해하고, 그 순열의 수를 구하는 방법을 설명할 수 있다.</t>
  </si>
  <si>
    <t>[12이수01-02]</t>
  </si>
  <si>
    <t>중복조합을 이해하고, 중복조합의 수를 구하는 방법을 설명할 수 있다.</t>
  </si>
  <si>
    <t>[12이수01-03]</t>
  </si>
  <si>
    <t>포함배제의 원리를 이해하고, 이를 활용하여 문제를 해결할 수 있다.</t>
  </si>
  <si>
    <t>[12이수01-04]</t>
  </si>
  <si>
    <t>집합의 분할과 자연수의 분할을 이해하고, 그 분할의 수를 구하는 방법을 설명할 수 있다.</t>
  </si>
  <si>
    <t>집합의 분할의 수와 자연수의 분할의 수에 대한 점화식을 증명하고, 이를 활용하여 여러 가지 분할 및 분배 상황에 대한 경우의 수를 구할 수 있게 한다.</t>
  </si>
  <si>
    <t>[12이수01-05]</t>
  </si>
  <si>
    <t>비둘기집의 원리를 이해하고, 이를 활용하여 문제를 해결할 수 있다.</t>
  </si>
  <si>
    <t>[12이수02-01]</t>
  </si>
  <si>
    <t>수열을 귀납적으로 정의할 수 있다.</t>
  </si>
  <si>
    <t>[12이수02-02]</t>
  </si>
  <si>
    <t>귀납적으로 정의된 수열의 일반항을 구하는 방법을 설명할 수 있다.</t>
  </si>
  <si>
    <t>이웃한 두 항, 이웃한 세 항으로 이루어진 점화식을 변형하여 일반항을 구할 수 있도록 하며, 그 과정에서 특성방정식의 근을 이용하는 방법을 다룰 수 있다.</t>
  </si>
  <si>
    <t>[12이수02-03]</t>
  </si>
  <si>
    <t>알고리즘의 뜻을 알고, 이를 표현할 수 있다.</t>
  </si>
  <si>
    <t>알고리즘의 표현 방법으로 순서도와 의사코드를 다룬다.</t>
  </si>
  <si>
    <t>[12이수02-04]</t>
  </si>
  <si>
    <t>재귀적 알고리즘을 이해하고, 이를 표현할 수 있다.</t>
  </si>
  <si>
    <t>n!, 집합의 분할, 수의 분할, 피보나치 수열, 하노이의 탑, 최대공약수 등의 재귀적 알고리즘을 다룰 수 있다.</t>
  </si>
  <si>
    <t>[12이수02-05]</t>
  </si>
  <si>
    <t>여러 가지 알고리즘의 논리적 절차를 수행하고 반성할 수 있다.</t>
  </si>
  <si>
    <t>에라토스테네스의 체, 유클리드 호제법, 이분법 및 방정식의 해 구하기와 같은 일반적인 수학 문제의 해법에 관한 알고리즘을 다룰 수 있다.</t>
  </si>
  <si>
    <t>[12이수03-01]</t>
  </si>
  <si>
    <t>진법의 원리를 알고, 진법 사이의 관계를 설명할 수 있다.</t>
  </si>
  <si>
    <t>이진법, 십진법, 십육진법 등을 다룰 수 있다.</t>
  </si>
  <si>
    <t>[12이수03-02]</t>
  </si>
  <si>
    <t>이진수의 사칙연산의 원리를 이해하고, 그 계산을 할 수 있다.</t>
  </si>
  <si>
    <t>보수 개념을 이용한 정수 표현 방법을 이해하고 이를 바탕으로 이진수의 사칙연산을 할 수 있게 한다.</t>
  </si>
  <si>
    <t>[12이수03-03]</t>
  </si>
  <si>
    <t>부울 함수를 이해하고, 이를 간소화할 수 있다.</t>
  </si>
  <si>
    <t>[12이수03-04]</t>
  </si>
  <si>
    <t>부울 함수를 이용하여 여러 가지 논리 회로를 설계할 수 있다.</t>
  </si>
  <si>
    <t>[12이수04-01]</t>
  </si>
  <si>
    <t>그래프의 뜻을 알고, 실생활 문제를 그래프로 표현할 수 있다.</t>
  </si>
  <si>
    <t>[12이수04-02]</t>
  </si>
  <si>
    <t>그래프에서 꼭짓점의 차수의 합과 변의 개수의 관계를 설명할 수 있다.</t>
  </si>
  <si>
    <t>[12이수04-03]</t>
  </si>
  <si>
    <t>그래프를 인접행렬로 나타내고, 그 성질을 탐구할 수 있다.</t>
  </si>
  <si>
    <t>[12이수04-04]</t>
  </si>
  <si>
    <t>평면그래프의 뜻을 알고, 그 성질을 탐구할 수 있다.</t>
  </si>
  <si>
    <t>[12이수04-05]</t>
  </si>
  <si>
    <t>오일러그래프와 해밀턴그래프의 뜻을 알고, 이를 활용할 수 있다.</t>
  </si>
  <si>
    <t>[12이수04-06]</t>
  </si>
  <si>
    <t>수형도와 생성수형도의 뜻을 알고, 이를 의사 결정에 활용할 수 있다.</t>
  </si>
  <si>
    <t>[12이수04-07]</t>
  </si>
  <si>
    <t>채색수와 채색다항식을 활용하여 여러 가지 문제를 해결할 수 있다.</t>
  </si>
  <si>
    <t>[12고대01-01]</t>
  </si>
  <si>
    <t>n차원 벡터의 뜻을 알고, n차원 벡터의 연산을 할 수 있다.</t>
  </si>
  <si>
    <t>[12고대01-02]</t>
  </si>
  <si>
    <t>벡터공간의 뜻을 알고, 벡터의 성질을 탐구할 수 있다.</t>
  </si>
  <si>
    <t>[12고대01-03]</t>
  </si>
  <si>
    <t>부분공간의 뜻을 알고, 그 성질을 탐구할 수 있다.</t>
  </si>
  <si>
    <t>[12고대01-04]</t>
  </si>
  <si>
    <t>벡터의 일차독립과 일차종속을 이해하고, 이를 판단할 수 있다.</t>
  </si>
  <si>
    <t>[12고대01-05]</t>
  </si>
  <si>
    <t>벡터공간의 기저를 이해하고, 이를 구할 수 있다.</t>
  </si>
  <si>
    <t>[12고대01-06]</t>
  </si>
  <si>
    <t>두 n차원 벡터의 내적을 이해하고, 이를 활용할 수 있다.</t>
  </si>
  <si>
    <t>[12고대01-07]</t>
  </si>
  <si>
    <t>벡터의 정사영을 이해하고, 이를 구할 수 있다.</t>
  </si>
  <si>
    <t>[12고대01-08]</t>
  </si>
  <si>
    <t>벡터공간의 정규직교기저를 이해하고, 이를 구할 수 있다.</t>
  </si>
  <si>
    <t>그람-슈미트 직교화 과정을 이용하여 벡터공간의 정규직교기저를 구할 수 있게 한다.</t>
  </si>
  <si>
    <t>[12고대02-01]</t>
  </si>
  <si>
    <t>가우스 소거법을 이해하고, 행렬과 연립일차방정식을 연결하여 문제를 해결할 수 있다.</t>
  </si>
  <si>
    <t>[12고대02-02]</t>
  </si>
  <si>
    <t>역행렬을 이해하고, 가우스 소거법을 이용하여 이를 구할 수 있다.</t>
  </si>
  <si>
    <t>2×2, 3×3 행렬의 역행렬만 다룬다.</t>
  </si>
  <si>
    <t>[12고대02-03]</t>
  </si>
  <si>
    <t>행렬식의 뜻과 성질을 이해하고, 이를 활용할 수 있다.</t>
  </si>
  <si>
    <t>2×2, 3×3 행렬의 행렬식만 다룬다.</t>
  </si>
  <si>
    <t>[12고대02-04]</t>
  </si>
  <si>
    <t>선형변환을 이해하고, 이를 행렬과 연결하여 문제를 해결할 수 있다.</t>
  </si>
  <si>
    <t>[12고대02-05]</t>
  </si>
  <si>
    <t>좌표평면에서의 대칭변환, 닮음변환, 회전변환과 행렬 사이의 관계를 설명할 수 있다.</t>
  </si>
  <si>
    <t>대칭변환, 닮음변환, 회전변환은 R²→R²인 경우만 다룬다.</t>
  </si>
  <si>
    <t>[12고대02-06]</t>
  </si>
  <si>
    <t>선형변환의 합성과 역변환을 이해하고, 행렬을 이용하여 이를 표현할 수 있다.</t>
  </si>
  <si>
    <t>[12고대03-01]</t>
  </si>
  <si>
    <t>행렬의 고윳값과 고유벡터를 이해하고, 특성다항식을 이용하여 이를 구할 수 있다.</t>
  </si>
  <si>
    <t>2×2, 3×3 행렬의 고윳값과 고유벡터를 다룬다.</t>
  </si>
  <si>
    <t>[12고대03-02]</t>
  </si>
  <si>
    <t>케일리-해밀턴 정리를 이해하고, 이를 이용하여 행렬의 거듭제곱을 구할 수 있다.</t>
  </si>
  <si>
    <t>[12고대03-03]</t>
  </si>
  <si>
    <t>행렬을 대각화하는 방법을 이해하고, 행렬을 대각화할 수 있다.</t>
  </si>
  <si>
    <t>2×2, 3×3 행렬의 대각화만 다룬다. 행렬의 대각화를 이용하여 행렬의 거듭제곱을 구하고, 이 행렬의 고윳값을 구하게 할 수 있다.</t>
  </si>
  <si>
    <t>[12고대03-04]</t>
  </si>
  <si>
    <t>직교행렬과 직교대각화의 뜻을 알고, 행렬을 직교대각화할 수 있다.</t>
  </si>
  <si>
    <t>[12고대03-05]</t>
  </si>
  <si>
    <t>행렬의 대각화를 이용하여 이차곡선의 방정식을 표준형으로 변환할 수 있다.</t>
  </si>
  <si>
    <t>[12고대03-06]</t>
  </si>
  <si>
    <t>행렬의 대각화를 활용하여 여러 가지 문제를 해결할 수 있다.</t>
  </si>
  <si>
    <t>피보나치 수열, 간단한 마르코프 체인 문제 등을 다룰 수 있다.</t>
  </si>
  <si>
    <t>[12고미01-01]</t>
  </si>
  <si>
    <t>뉴턴의 방법을 설명하고, 이를 활용하여 방정식의 해의 근삿값을 구할 수 있다.</t>
  </si>
  <si>
    <t>[12고미01-02]</t>
  </si>
  <si>
    <t>쌍곡선함수와 역쌍곡선함수를 이해하고, 이들 간의 관계를 설명할 수 있다.</t>
  </si>
  <si>
    <t>[12고미01-03]</t>
  </si>
  <si>
    <t>쌍곡선함수와 역쌍곡선함수의 도함수를 구할 수 있다.</t>
  </si>
  <si>
    <t>[12고미01-04]</t>
  </si>
  <si>
    <t>쌍곡선함수와 역쌍곡선함수의 부정적분을 구할 수 있다.</t>
  </si>
  <si>
    <t>[12고미01-05]</t>
  </si>
  <si>
    <t>이상적분을 이해하고, 이를 구할 수 있다.</t>
  </si>
  <si>
    <t>적분 개념을 이상적분 개념으로 확장하는 것에 대해 흥미를 갖게 한다.</t>
  </si>
  <si>
    <t>[12고미01-06]</t>
  </si>
  <si>
    <t>미분과 적분을 회전체의 부피와 겉넓이에 대한 문제에 활용하고, 그 유용성을 인식한다.</t>
  </si>
  <si>
    <t>[12고미02-01]</t>
  </si>
  <si>
    <t>극좌표를 이해하고, 직교좌표와 극좌표의 관계를 설명할 수 있다.</t>
  </si>
  <si>
    <t>극좌표와 직교좌표 위의 점, 식 표현 간의 관계를 다룰 때, 두 좌표계의 연결성을 이해하게 한다.</t>
  </si>
  <si>
    <t>[12고미02-02]</t>
  </si>
  <si>
    <t>극곡선의 대칭성을 이해하고, 극방정식을 그래프로 표현할 수 있다.</t>
  </si>
  <si>
    <t>[12고미02-03]</t>
  </si>
  <si>
    <t>극곡선의 접선의 방정식을 구할 수 있다.</t>
  </si>
  <si>
    <t>[12고미02-04]</t>
  </si>
  <si>
    <t>두 극곡선의 교점과 두 극곡선이 이루는 각을 구할 수 있다.</t>
  </si>
  <si>
    <t>[12고미02-05]</t>
  </si>
  <si>
    <t>극곡선의 길이와 극곡선으로 둘러싸인 영역의 넓이에 대한 문제를 해결할 수 있다.</t>
  </si>
  <si>
    <t>[12고미03-01]</t>
  </si>
  <si>
    <t>단조수렴정리를 활용하여 수열의 수렴과 발산을 판정할 수 있다.</t>
  </si>
  <si>
    <t>[12고미03-02]</t>
  </si>
  <si>
    <t>여러 가지 판정법의 원리를 이해하고, 이를 활용하여 양항급수의 수렴과 발산을 판정할 수 있다.</t>
  </si>
  <si>
    <t>[12고미03-03]</t>
  </si>
  <si>
    <t>절대수렴과 조건수렴의 뜻을 알고, 교대급수판정법을 활용하여 교대급수의 절대수렴, 조건수렴, 발산을 판정할 수 있다.</t>
  </si>
  <si>
    <t>[12고미03-04]</t>
  </si>
  <si>
    <t>멱급수와 수렴반경을 이해하고, 이를 구할 수 있다.</t>
  </si>
  <si>
    <t>[12고미03-05]</t>
  </si>
  <si>
    <t>멱급수의 기본 성질을 이해하고, 여러 가지 함수를 멱급수로 표현할 수 있다.</t>
  </si>
  <si>
    <t>[12고미03-06]</t>
  </si>
  <si>
    <t>테일러다항식과 테일러급수를 탐구하고 이해한다.</t>
  </si>
  <si>
    <t>[12고미03-07]</t>
  </si>
  <si>
    <t>테일러급수를 활용하여 여러 가지 문제를 해결하고 그 유용성을 인식한다.</t>
  </si>
  <si>
    <t>테일러급수를 활용하여 sin20°와 같은 수의 근삿값을 구하고, 함수의 극한을 구하는 과정을 다룰 수 있다.</t>
  </si>
  <si>
    <t>[12고미04-01]</t>
  </si>
  <si>
    <t>미분방정식의 뜻을 알고, 방향장을 이용하여 미분방정식의 해를 표현할 수 있다.</t>
  </si>
  <si>
    <t>[12고미04-02]</t>
  </si>
  <si>
    <t>오일러의 방법을 이용하여 미분방정식의 근사해를 구할 수 있다.</t>
  </si>
  <si>
    <t>[12고미04-03]</t>
  </si>
  <si>
    <t>특정한 형태의 미분방정식의 해를 구할 수 있다.</t>
  </si>
  <si>
    <t>변수분리형 미분방정식, 선형 미분방정식 등 간단한 형태의 미분방정식의 해를 구하는 방법을 다룬다.</t>
  </si>
  <si>
    <t>[12고미04-04]</t>
  </si>
  <si>
    <t>미분방정식을 활용하여 변화하는 상황을 포함하는 실생활 문제를 해결하고, 그 유용성을 인식한다.</t>
  </si>
  <si>
    <t>구체적인 자연 현상이나 사회 현상을 이해하는 과정에서 미분방정식이 실생활과 연결됨을 이해하게 하고, 미분방정식의 유용성을 인식하게 한다.</t>
  </si>
  <si>
    <t>[12고기01-01]</t>
  </si>
  <si>
    <t>기초적인 도형을 작도하고, 그 과정을 설명할 수 있다.</t>
  </si>
  <si>
    <t>원의 접선 작도, 선분의 내분점과 외분점 작도 등을 다룰 수 있다.</t>
  </si>
  <si>
    <t>[12고기01-02]</t>
  </si>
  <si>
    <t>다양한 도형을 작도하고, 그 과정을 설명할 수 있다.</t>
  </si>
  <si>
    <t>삼각형에 내접하는 정사각형 작도, 세 평행선 위에 각각 꼭짓점을 갖는 정삼각형 작도 등 주어진 조건을 만족하는 도형의 작도를 다룰 수 있다.</t>
  </si>
  <si>
    <t>[12고기01-03]</t>
  </si>
  <si>
    <t>도형의 작도가능성 문제를 대수와 연결하여 설명할 수 있다.</t>
  </si>
  <si>
    <t>대수적 수와 작도가능성을 이해하게 하고, 작도불가능한 수로 ∛2, cos 20°, √π와 같은 예를 다룰 수 있다.</t>
  </si>
  <si>
    <t>[12고기01-04]</t>
  </si>
  <si>
    <t>평면도형에 대한 기초적인 성질을 이해하고 이를 증명할 수 있다.</t>
  </si>
  <si>
    <t>원의 접선이 반지름과 수직으로 만나는 성질 등을 다룰 수 있다.</t>
  </si>
  <si>
    <t>[12고기01-05]</t>
  </si>
  <si>
    <t>삼각형과 관련된 다양한 정리를 이해하고 이를 증명할 수 있다.</t>
  </si>
  <si>
    <t>메넬라우스 정리, 체바의 정리 등을 다룰 수 있다.</t>
  </si>
  <si>
    <t>[12고기01-06]</t>
  </si>
  <si>
    <t>원과 관련된 다양한 정리를 이해하고 이를 증명할 수 있다.</t>
  </si>
  <si>
    <t>톨레미의 정리, 심슨의 정리 등을 다룰 수 있다.</t>
  </si>
  <si>
    <t>[12고기02-01]</t>
  </si>
  <si>
    <t>좌표평면에서 곡선의 매개변수 방정식을 구하고, 그 과정을 설명할 수 있다.</t>
  </si>
  <si>
    <t>사이클로이드, 에피사이클로이드, 하이포사이클로이드 등을 다룰 수 있다.</t>
  </si>
  <si>
    <t>[12고기02-02]</t>
  </si>
  <si>
    <t>공학 도구를 이용하여 좌표평면에서 점의 자취를 탐구할 수 있다.</t>
  </si>
  <si>
    <t>[12고기02-03]</t>
  </si>
  <si>
    <t>좌표공간에서 곡선을 매개변수 방정식으로 표현할 수 있다.</t>
  </si>
  <si>
    <t>원나선 등을 다룰 수 있다.</t>
  </si>
  <si>
    <t>[12고기02-04]</t>
  </si>
  <si>
    <t>좌표공간에서 움직이는 점의 속도와 가속도를 구할 수 있다.</t>
  </si>
  <si>
    <t>[12고기03-01]</t>
  </si>
  <si>
    <t>등위곡선의 뜻을 알고, 이를 활용하여 좌표공간의 곡면을 탐구하고 이해한다.</t>
  </si>
  <si>
    <t>좌표공간에서 곡면을 이해하고 해석하는 도구로서 등위곡선의 유용성을 인식하게 한다.</t>
  </si>
  <si>
    <t>[12고기03-02]</t>
  </si>
  <si>
    <t>이차곡면과 그 그래프를 이해하고, 이차곡면을 방정식으로 표현할 수 있다.</t>
  </si>
  <si>
    <t>이차곡면은 타원면, 일엽 쌍곡면, 이엽 쌍곡면, 이차뿔면 등을 다룬다. 다양한 이차곡면의 식과 좌표공간 상에 나타나는 이차곡면의 그래프를 연결하여 탐구하게 한다.</t>
  </si>
  <si>
    <t>[12고기03-03]</t>
  </si>
  <si>
    <t>구면삼각형의 뜻을 알고, 구면삼각형의 내각의 합에 대한 성질을 탐구하고 이해한다.</t>
  </si>
  <si>
    <t>구면삼각형의 내각의 합과 평면 위의 삼각형의 내각의 합에 대한 성질의 차이점을 알게 한다.</t>
  </si>
  <si>
    <t>[12고기03-04]</t>
  </si>
  <si>
    <t>구면코사인법칙과 구면사인법칙을 이해하고, 이를 활용할 수 있다.</t>
  </si>
  <si>
    <t>[12고기02-05]</t>
  </si>
  <si>
    <t>정칙곡선을 이해하고, 좌표공간에서 매개변수 방정식으로 표현된 곡선의 길이를 구할 수 있다.</t>
  </si>
  <si>
    <t>[12고기02-06]</t>
  </si>
  <si>
    <t>단위속력곡선, 호의 길이 매개변수를 이해하고, 이를 설명할 수 있다.</t>
  </si>
  <si>
    <t>[12고기02-07]</t>
  </si>
  <si>
    <t>곡선을 단위속력곡선으로 재매개화하는 방법을 탐구하여 이해하고, 단위속력곡선을 구할 수 있다.</t>
  </si>
  <si>
    <t>[12고기02-08]</t>
  </si>
  <si>
    <t>곡률과 곡률반경을 이해하고, 이를 구할 수 있다.</t>
  </si>
  <si>
    <t>[12고물01-01]</t>
  </si>
  <si>
    <t>벡터를 이용하여 지표면 근처의 포물선 운동을 정량적으로 분석할 수 있다.</t>
  </si>
  <si>
    <t>여러 가지 힘이 작용하는 경우의 물리량을 구하는 예에서 미분이 포함된 운동 방정식을 해결할 수 있도록 한다.</t>
  </si>
  <si>
    <t>[12고물01-02]</t>
  </si>
  <si>
    <t>보존력과 운동량 보존 법칙을 이용하여 다양한 충돌 현상을 설명할 수 있다.</t>
  </si>
  <si>
    <t>[12고물01-03]</t>
  </si>
  <si>
    <t>회전 관성과 각운동량 보존 법칙을 이용하여 물체의 회전 운동을 설명할 수 있다.</t>
  </si>
  <si>
    <t>회전 운동을 설명하기 위해서는 돌림힘과 각운동량 등과 같은 새로운 물리량이 필요하며, 그 양들 사이의 관계로부터 회전 운동에 적합한 운동 법칙을 찾을 수 있음을 이해할 수 있도록 한다.</t>
  </si>
  <si>
    <t>[12고물01-04]</t>
  </si>
  <si>
    <t>뉴턴의 운동 법칙과 케플러의 세 가지 운동 법칙을 이용하여 행성의 운동을 분석하고, 인공위성의 궤도와 속도를 구할 수 있다.</t>
  </si>
  <si>
    <t>[12고물01-05]</t>
  </si>
  <si>
    <t>이상 기체의 상태 변화와 거동을 이상 기체 방정식과 열역학 제1법칙 및 분자 운동 모형으로 설명할 수 있다.</t>
  </si>
  <si>
    <t>[12고물01-06]</t>
  </si>
  <si>
    <t>열효율과 엔트로피의 개념을 알고, 열기관과 자발적 과정을 설명할 수 있다.</t>
  </si>
  <si>
    <t>[12고물02-01]</t>
  </si>
  <si>
    <t>가우스 법칙으로 도체와 유전체가 만드는 전기장을 구하고, 전위, 정전기 차폐와 등전위면, 전기 쌍극자 등을 설명할 수 있다.</t>
  </si>
  <si>
    <t>전기 선속 개념을 이용하여 가우스 법칙을 유도하고, 도체와 유전체에 적용하여 가우스 법칙의 의미를 설명할 수 있도록 한다.</t>
  </si>
  <si>
    <t>[12고물02-02]</t>
  </si>
  <si>
    <t>평행판 축전기의 직렬연결과 병렬연결에 따른 전기 용량 변화를 계산하고, 평행판 축전기에서 유전체의 역할을 설명할 수 있다.</t>
  </si>
  <si>
    <t>[12고물02-03]</t>
  </si>
  <si>
    <t>전류에 의한 자기장과 전자기 유도 법칙, 자체 유도 계수를 설명할 수 있다.</t>
  </si>
  <si>
    <t>비오-사바르 법칙을 이용하여 전류에 의한 자기장을 예측할 수 있으며, 대칭성이 있는 경우 암페어 법칙을 이용하여 쉽게 자기장을 구하도록 한다.</t>
  </si>
  <si>
    <t>[12고물03-01]</t>
  </si>
  <si>
    <t>거울과 얇은 렌즈에 의한 상을 설명하고, 현미경, 망원경, 카메라 등 여러 가지 광학 기기의 원리에 적용할 수 있다.</t>
  </si>
  <si>
    <t>[12고물03-02]</t>
  </si>
  <si>
    <t>영의 이중 슬릿 실험에서 나타나는 무늬의 특징과 다양한 간섭계를 설명할 수 있다.</t>
  </si>
  <si>
    <t>[12고물03-03]</t>
  </si>
  <si>
    <t>회절의 원리와 관련 현상을 설명하고, 광학 기기의 분해능에 적용할 수 있다.</t>
  </si>
  <si>
    <t>단일 슬릿, 원형 슬릿, 이중 슬릿, 다중 슬릿(회절격자)에 의한 회절 현상을 다룬다.</t>
  </si>
  <si>
    <t>[12고물03-04]</t>
  </si>
  <si>
    <t>편광 방향에 따라 빛의 투과가 달라지는 현상에서 규칙성을 찾고, 3D 영상 기술 등 편광이 실생활에 적용되는 사례를 찾아 설명할 수 있다.</t>
  </si>
  <si>
    <t>편광이 실생활에 적용되는 사례로서 여러 가지 형태의 디스플레이 장치에서 편광의 종류와 제작 방법이 어떻게 활용되는지 설명한다.</t>
  </si>
  <si>
    <t>[12고물02-04]</t>
  </si>
  <si>
    <t>전자기파의 발생 원리를 이해하고, 전자기파의 성질과 종류를 조사·발표할 수 있다.</t>
  </si>
  <si>
    <t>전자기파의 파동 방정식을 유도하고, 맥스웰 방정식의 과학사적 의미에 대해 토의하게 한다.</t>
  </si>
  <si>
    <t>[12고물02-05]</t>
  </si>
  <si>
    <t>키르히호프 법칙을 이용하여, 다양한 회로 내 전류, 전압을 예측할 수 있다.</t>
  </si>
  <si>
    <t>[12고물02-06]</t>
  </si>
  <si>
    <t>교류 전기의 발생 원리와 교류 기전력의 주기적 변화를 이해하고, LC 회로와 RLC 회로에서 전기 진동과 공진 현상을 설명할 수 있다.</t>
  </si>
  <si>
    <t>교류의 특성으로 나타나는 용량 리액턴스와 유도 리액턴스를 정의하고, 교류 회로에서 임피던스를 계산할 수 있도록 한다.</t>
  </si>
  <si>
    <t>[12고물04-01]</t>
  </si>
  <si>
    <t>가속 좌표계에서 물체의 운동을 관성력을 이용하여 설명할 수 있다.</t>
  </si>
  <si>
    <t>특수 상대성 이론의 탄생 배경과 기본 가정, 결과를 상세히 서술하고, 일반 상대성 이론에 대해서는 정성적인 의미를 설명한다.</t>
  </si>
  <si>
    <t>[12고물04-02]</t>
  </si>
  <si>
    <t>시공간 및 질량과 에너지의 관계와 중력에 의한 시간 변화를 설명할 수 있다.</t>
  </si>
  <si>
    <t>[12고물04-03]</t>
  </si>
  <si>
    <t>빛의 이중성을 흑체복사, 광전효과, 콤프턴 효과를 바탕으로 이해하고, 물질파를 드 브로이 파장과 전자 회절로 설명할 수 있다.</t>
  </si>
  <si>
    <t>[12고물04-04]</t>
  </si>
  <si>
    <t>상보성 원리와 불확정성 원리를 설명할 수 있다.</t>
  </si>
  <si>
    <t>[12고물04-05]</t>
  </si>
  <si>
    <t>1차원 무한 퍼텐셜 상자 속의 입자가 갖는 파동 함수와 에너지 준위를 정량적으로 설명하고, 반도체를 띠 이론으로 이해하고, 나노 물리학의 전망을 토의할 수 있다.</t>
  </si>
  <si>
    <t>양자역학이 수립되는 과정과 그 과정에서 발견된 빛과 물질의 이중성, 불확정성의 원리, 보어의 양자 가설을 시작으로 한 수소 원자 모형과 스펙트럼, 슈뢰딩거 방정식을 소개한다.</t>
  </si>
  <si>
    <t>[12고물04-06]</t>
  </si>
  <si>
    <t>쿼크, 렙톤, 매개 입자의 특성과 핵분열과 핵융합의 기본 과정, 별에서의 핵융합 반응과 플라스마에 관해 설명할 수 있다.</t>
  </si>
  <si>
    <t>자연을 이루는 기본적인 상호 작용과 물질을 이루는 기본 입자를 설명하고, 표준 모형에 따라 우주를 이루는 기본 입자를 설명한다.</t>
  </si>
  <si>
    <t>[12고화01-01]</t>
  </si>
  <si>
    <t>오비탈은 전자의 에너지와 위치의 정보를 가진 함수임을 이해하고, 오비탈을 이용한 원자의 현대적 모형에 호기심을 갖는다.</t>
  </si>
  <si>
    <t>파동 함수의 유도 과정보다는 파동 함수 그래프가 갖는 의미를 해석하는 활동을 중심으로 다룬다.</t>
  </si>
  <si>
    <t>[12고화01-02]</t>
  </si>
  <si>
    <t>전형 원소와 전이 원소에 속하는 원자의 바닥 상태의 전자 배치를 나타내고, 공통점과 차이점을 비교할 수 있다.</t>
  </si>
  <si>
    <t>[12고화01-03]</t>
  </si>
  <si>
    <t>다양한 화학 결합의 원리를 이해하고, 입자 간 거리와 에너지 관계를 추론할 수 있다.</t>
  </si>
  <si>
    <t>[12고화01-04]</t>
  </si>
  <si>
    <t>루이스 구조식을 이용하여 형식 전하와 공명 구조를 나타내고, 이를 이용하여 분자의 안정성을 비교하여 설명할 수 있다.</t>
  </si>
  <si>
    <t>[12고화01-05]</t>
  </si>
  <si>
    <t>원자가 결합 이론과 혼성 오비탈의 정의를 이해하고, 혼성 오비탈로 설명할 수 있는 다양한 탄소 화합물 분자 구조를 탐색할 수 있다.</t>
  </si>
  <si>
    <t>탄화수소를 기본 예시로 제시하고, 탄화수소가 다양한 탄화수소 유도체로 확장될 수 있음을 지도한다.</t>
  </si>
  <si>
    <t>[12고화01-06]</t>
  </si>
  <si>
    <t>포화 및 불포화 탄화수소의 이성질체를 이해하고, 이성질체를 구조식으로 그려 비교할 수 있다.</t>
  </si>
  <si>
    <t>[12고화01-07]</t>
  </si>
  <si>
    <t>탄화수소 유도체에서 다양한 작용기의 특징을 알고, 산 염기 반응, 산화･환원 반응과 연관 지을 수 있다.</t>
  </si>
  <si>
    <t>[12고화02-01]</t>
  </si>
  <si>
    <t>기체의 온도, 압력, 부피 사이의 관계를 기체 분자 운동론으로 이해하고, 온도에 따른 기체 분자의 속력 분포 변화를 예측할 수 있다.</t>
  </si>
  <si>
    <t>[12고화02-02]</t>
  </si>
  <si>
    <t>이상 기체 방정식을 이해하고, 혼합 기체의 부분 압력과 몰 분율의 관계를 설명할 수 있다.</t>
  </si>
  <si>
    <t>[12고화02-03]</t>
  </si>
  <si>
    <t>이상 기체와 실제 기체의 차이를 이해하고, 실제 기체의 성질이 이상 기체와 다른 원인을 탐색할 수 있다.</t>
  </si>
  <si>
    <t>이상 기체와 다른 실제 기체의 특징에 대한 흥미를 유발할 수 있도록 다양한 상태 방정식의 예시를 소개한다.</t>
  </si>
  <si>
    <t>[12고화02-04]</t>
  </si>
  <si>
    <t>물질의 증기압, 끓는점, 표면 장력, 모세관 현상을 이해하고, 이를 다양한 분자 간 상호 작용으로 설명할 수 있다.</t>
  </si>
  <si>
    <t>분자 간의 힘을 비교하는 수준으로 제시한다.</t>
  </si>
  <si>
    <t>[12고화02-05]</t>
  </si>
  <si>
    <t>고체의 단위세포 개념을 이해하고, 결정성 고체의 다양한 단위세포를 비교하여 고체의 특성과 연관 지을 수 있다.</t>
  </si>
  <si>
    <t>3D 모델링을 통해 다양한 결정성 고체의 구조를 그리거나 제작하고, 각 결정 구조의 단위세포 특징을 파악할 수 있도록 한다.</t>
  </si>
  <si>
    <t>[12고화02-06]</t>
  </si>
  <si>
    <t>다양한 농도 단위를 이해하고, 용해도에 영향을 미치는 요인을 탐구할 수 있다.</t>
  </si>
  <si>
    <t>[12고화02-07]</t>
  </si>
  <si>
    <t>묽은 용액에서 나타나는 총괄성의 정의를 이해하고, 증기압 내림, 끓는점 오름, 어는점 내림, 삼투현상을 이용한 예를 탐색할 수 있다.</t>
  </si>
  <si>
    <t>[12고화03-01]</t>
  </si>
  <si>
    <t>계의 내부 에너지 변화를 열과 일로 나타내고, 에너지 보존 법칙을 설명할 수 있다.</t>
  </si>
  <si>
    <t>[12고화03-02]</t>
  </si>
  <si>
    <t>엔탈피의 정의를 이해하고 헤스 법칙을 활용하여 다양한 화학 반응의 반응 엔탈피를 예측할 수 있다.</t>
  </si>
  <si>
    <t>[12고화03-03]</t>
  </si>
  <si>
    <t>엔트로피의 정의를 이해하고 화학 변화에서 엔트로피의 변화를 예측할 수 있다.</t>
  </si>
  <si>
    <t>열역학적 엔트로피 접근을 통해 화학 반응에서의 에너지 변화가 엔트로피 변화에 영향을 미침을 다룬다.</t>
  </si>
  <si>
    <t>[12고화03-04]</t>
  </si>
  <si>
    <t>깁스 자유 에너지의 정의를 이해하고, 이를 활용하여 반응의 자발성을 예측할 수 있다.</t>
  </si>
  <si>
    <t>[12고화03-05]</t>
  </si>
  <si>
    <t>산화･환원 반응에서 산화수 정의를 이해하고, 산화수 변화를 통해 산화･환원 반응식을 완성할 수 있다.</t>
  </si>
  <si>
    <t>[12고화03-06]</t>
  </si>
  <si>
    <t>표준 환원 전위의 정의를 이해하고, 여러 가지 물질의 표준 환원 전위를 활용하여 화학 전지의 표준 전지 전위차를 구할 수 있다.</t>
  </si>
  <si>
    <t>[12고화03-07]</t>
  </si>
  <si>
    <t>표준 전지 전위차와 깁스 자유 에너지 관계를 이해하고, 다양한 화학 전지에 호기심을 갖는다.</t>
  </si>
  <si>
    <t>부피가 변하지 않을 때의 일과 연관된 깁스 자유 에너지 개념으로 전기화학 반응의 자발성을 다룬다.</t>
  </si>
  <si>
    <t>[12고화03-08]</t>
  </si>
  <si>
    <t>전기 분해의 원리를 산화･환원 반응으로 설명하고, 전기량과 생성물의 양적 관계를 활용하여 전기량 또는 생성물의 양을 예측할 수 있다.</t>
  </si>
  <si>
    <t>[12고화04-01]</t>
  </si>
  <si>
    <t>질량 작용 법칙으로 평형 상수를 구하고, 반응 지수를 활용하여 반응의 진행 방향을 예측할 수 있다.</t>
  </si>
  <si>
    <t>[12고화04-02]</t>
  </si>
  <si>
    <t>온도와 평형 상수와의 관계를 표준 깁스 자유 에너지 변화로 표현하고, 화학 평형의 이동에 영향을 미치는 요인을 설명할 수 있다.</t>
  </si>
  <si>
    <t>[12고화04-03]</t>
  </si>
  <si>
    <t>상평형과 용해 평형에 영향을 미치는 요인을 탐색하고, 평형 상수를 활용하여 평형 상태를 표현할 수 있다.</t>
  </si>
  <si>
    <t>[12고화04-04]</t>
  </si>
  <si>
    <t>루이스 산 염기 정의를 이해하고, 산 염기 평형을 이온화 상수로 표현할 수 있다.</t>
  </si>
  <si>
    <t>[12고화04-05]</t>
  </si>
  <si>
    <t>약산과 약염기의 중화 반응 시 특징을 이해하고, pH를 pKa 값으로부터 구할 수 있다.</t>
  </si>
  <si>
    <t>산의 이온화 상수(Kₐ)로부터 유도되는 핸더슨-하셀바흐 식을 이용한 단순 계산은 지양하고, 중화 적정 곡선 등의 실험 자료를 해석하는 과정을 중심으로 다룬다.</t>
  </si>
  <si>
    <t>[12고화04-06]</t>
  </si>
  <si>
    <t>다양한 산 염기 중화 적정 곡선을 이해하고, 완충 용액의 pH 변화를 관찰하여 완충 용액의 유용성을 인식할 수 있다.</t>
  </si>
  <si>
    <t>[12고화04-07]</t>
  </si>
  <si>
    <t>화학 반응 속도에 영향을 미치는 요인을 이해하고, 아레니우스 식을 이용하여 반응 속도의 변화를 설명할 수 있다.</t>
  </si>
  <si>
    <t>[12고화04-08]</t>
  </si>
  <si>
    <t>0, 1, 2차 반응의 적분 속도식을 이해하고, 이를 반응 속도 예측에 활용할 수 있다.</t>
  </si>
  <si>
    <t>[12고화04-09]</t>
  </si>
  <si>
    <t>유효 충돌의 의미를 이해하고, 온도와 농도 변화 시 반응 속도의 변화를 충돌 이론으로 설명할 수 있다.</t>
  </si>
  <si>
    <t>[12고화04-10]</t>
  </si>
  <si>
    <t>반응 메커니즘을 이해하고, 반응 속도 결정 단계가 전체 반응 속도에 미치는 영향을 탐구할 수 있다.</t>
  </si>
  <si>
    <t>사전 평형, 정류 상태 근사와 같은 확장된 화학 반응의 속도식보다는 실험실 수준에서 관찰 가능한 화학 반응의 속도식을 중심으로 다룬다.</t>
  </si>
  <si>
    <t>[12고화04-11]</t>
  </si>
  <si>
    <t>다양한 촉매의 정의를 이해하고, 촉매에 따른 활성화 에너지 변화 원인을 추론할 수 있다.</t>
  </si>
  <si>
    <t>[12고생01-01]</t>
  </si>
  <si>
    <t>세포를 구성하는 탄소 화합물의 종류와 구조를 이해하고 탄수화물, 지질, 단백질, 핵산의 기능을 나타내는 분자 구조 모형을 생성하고 설명할 수 있다.</t>
  </si>
  <si>
    <t>탄소 화합물과 이성질체, 단위체 간 결합 명칭 등 분자 구조를 바탕으로 세포를 구성하는 탄소 화합물을 설명한다. 포도당의 이성질체로 구조 이성질체, 거울상 이성질체, 에피머를 설명하도록 하고, 막의 안정성과 연관하여 인지질에서 보이는 기하 이성질체를 설명할 수 있도록 한다.</t>
  </si>
  <si>
    <t>[12고생01-02]</t>
  </si>
  <si>
    <t>비순환적 광인산화와 순환적 광인산화의 차이를 이해하고, 순환적 광인산화 과정의 의의를 생명과학적 근거를 기반으로 추론할 수 있다.</t>
  </si>
  <si>
    <t>[12고생01-03]</t>
  </si>
  <si>
    <t>광합성을 통한 포도당 합성에서 중간 산물의 생성과 변화 과정을 밝힌 탐구 자료를 분석하여 캘빈회로를 해석할 수 있다.</t>
  </si>
  <si>
    <t>[12고생01-04]</t>
  </si>
  <si>
    <t>광호흡과 환경에 대한 적응의 측면에서 C3, C4, CAM 식물의 차이에 관해 다양한 매체를 활용하여 협력적으로 소통할 수 있다.</t>
  </si>
  <si>
    <t>광호흡의 의미와 광호흡이 일어나는 이유를 Rubisco의 특성과 관련지어 설명하고, C3 식물과 비교하여 C4 식물과 CAM 식물이 가지고 있는 광호흡 억제 기작을 설명할 수 있도록 한다.</t>
  </si>
  <si>
    <t>[12고생01-05]</t>
  </si>
  <si>
    <t>해당과정과 TCA 회로에서 중간 산물의 생성과 변화 과정을 이해하고 해당과정의 속도 조절에 관여하는 주요 효소의 특징을 설명할 수 있다.</t>
  </si>
  <si>
    <t>해당과정과 TCA 회로가 다양한 물질대사경로들과 연결되어 있으며 해당과정의 속도 조절에 관여하는 주요 효소가 다른 자리 입체성 조절을 통해 세포호흡의 속도를 조절함을 설명할 수 있도록 한다.</t>
  </si>
  <si>
    <t>[12고생01-06]</t>
  </si>
  <si>
    <t>산화적 인산화에서 ATP 합성효소의 ATP 합성 과정에 관한 탐구 자료를 해석할 수 있다.</t>
  </si>
  <si>
    <t>[12고생02-01]</t>
  </si>
  <si>
    <t>생물의 세포 간 신호 전달 방식을 이해하고 모형을 제작하여 설명할 수 있다.</t>
  </si>
  <si>
    <t>세포 간 신호 전달의 필요성을 항상성과 연계하여 이해하고, 신호 전달의 종류와 특징을 설명할 수 있도록 한다.</t>
  </si>
  <si>
    <t>[12고생02-02]</t>
  </si>
  <si>
    <t>사람 호르몬의 종류와 기능을 알고 수용성 호르몬과 지용성 호르몬의 작용 경로를 막의 투과성과 연계하여 추론할 수 있다.</t>
  </si>
  <si>
    <t>수용성 호르몬과 지용성 호르몬의 종류를 조사하고, 에피네프린과 에스트로젠을 사례로 작용 경로를 설명할 수 있도록 한다.</t>
  </si>
  <si>
    <t>[12고생02-03]</t>
  </si>
  <si>
    <t>신경 세포의 막전위 변화를 이온의 이동을 중심으로 이해하고 활동 전위의 전도 이상으로 생기는 질환을 조사하여 다양한 매체를 활용하여 협력적으로 소통할 수 있다.</t>
  </si>
  <si>
    <t>전도 과정에서 절대적 불응기와 상대적 불응기의 개념과 필요성을 이해하고, 활동 전위의 전도 이상시 발생할 수 있는 질환은 말이집 형성의 이상이나 손상으로 발생하는 질병을 사례로 설명할 수 있도록 한다.</t>
  </si>
  <si>
    <t>[12고생02-04]</t>
  </si>
  <si>
    <t>시냅스 전달의 과정을 이해하고, 시냅스후 전위의 합에 대한 자료 해석과 분석을 통해 시냅스후 전위의 생성에 관한 결론을 도출할 수 있다.</t>
  </si>
  <si>
    <t>시냅스 전달 과정에서 흥분성 시냅스후 전위, 억제성 시냅스후 전위, 시간 합, 공간 합의 개념을 설명할 수 있도록 한다.</t>
  </si>
  <si>
    <t>[12고생02-05]</t>
  </si>
  <si>
    <t>면역에 관여하는 요소와 세포의 기능을 바탕으로 선천적 면역과 후천적 면역에 관한 차이를 추론할 수 있다.</t>
  </si>
  <si>
    <t>면역 반응의 특성에 따라 선천적 면역과 후천적 면역을 구분하지만 병원체로부터 인체를 효과적으로 보호하기 위해 두 면역 반응이 함께 연계되어 작용해야 함을 이해할 수 있도록 지도한다. 면역에 관여하는 요소로 사이토카인, 히스타민, 항체, 보체, 라이소자임을 다루며, 백혈구의 종류와 기능을 함께 이해할 수 있도록 지도한다.</t>
  </si>
  <si>
    <t>[12고생02-06]</t>
  </si>
  <si>
    <t>림프구의 종류와 기능, 발달 과정을 이해하고 체액성 면역과 세포성 면역 과정을 모형으로 제작하여 설명할 수 있다.</t>
  </si>
  <si>
    <t>B림프구의 항체 매개성 면역과 클론 선택, 유전자 조각의 재배열에 의한 다양한 항체 레퍼토리 생성, T림프구의 세포 매개성 면역과 주조직적합성 복합체, 자가 항원에 관한 관용을 함께 이해할 수 있도록 지도한다.</t>
  </si>
  <si>
    <t>[12고생03-01]</t>
  </si>
  <si>
    <t>DNA 복제 과정의 교정과 손상된 DNA의 수선 과정을 이해하고 다양한 매체를 활용하여 협력적으로 소통할 수 있다.</t>
  </si>
  <si>
    <t>DNA의 복제 과정과 유전자의 발현 과정을 이해하고 원핵생물과 진핵생물의 유전자 발현 과정의 차이점을 설명할 수 있도록 한다. DNA 복제 시 교정과 손상된 DNA의 뉴클레오타이드 절제 수선 과정에서 어떠한 요소(주형, 중합효소, 연결효소 등)들이 필요한지를 학습하도록 하되, 다양한 DNA 수선 과정의 종류와 구체적인 방법에 대해서는 다루지 않는다.</t>
  </si>
  <si>
    <t>[12고생03-02]</t>
  </si>
  <si>
    <t>생명체의 전사 과정에 다양한 요소들이 작용함을 이해하고, 전사 과정에서 진핵생물과 원핵생물의 공통점과 차이점을 설명할 수 있다.</t>
  </si>
  <si>
    <t>DNA의 복제 과정과 유전자의 발현 과정을 이해하고 원핵생물과 진핵생물의 유전자 발현 과정의 차이점을 설명할 수 있도록 한다.</t>
  </si>
  <si>
    <t>[12고생03-03]</t>
  </si>
  <si>
    <t>유전 암호를 실험적으로 증명하는 과정과 결과를 조사하고 해석하여 유전 암호표를 논리적으로 추론할 수 있다.</t>
  </si>
  <si>
    <t>[12고생03-04]</t>
  </si>
  <si>
    <t>유전자 발현 조절 과정에서 원핵세포와 진핵세포의 차이를 설명할 수 있다.</t>
  </si>
  <si>
    <t>DNA의 복제 과정과 유전자의 발현 과정을 이해하고 원핵생물과 진핵생물의 유전자 발현 과정의 차이점을 설명할 수 있도록 한다. 원핵생물에서 유전자 발현 조절은 lac 오페론과 trp 오페론의 공통점과 차이점을 중심으로 이해하고, 진핵생물에서 유전자 발현 조절은 염색질 리모델링, 히스톤 코드, RNA 간섭 현상 등을 예시로 설명할 수 있도록 한다.</t>
  </si>
  <si>
    <t>[12고생03-05]</t>
  </si>
  <si>
    <t>발생에 관여하는 유전자들이 진화적으로 연관되어 있음을 추론할 수 있다.</t>
  </si>
  <si>
    <t>초파리 발생 과정에서 호메오 유전자의 역할을 이해하고, 다양한 생명체에서 발생 과정이 진화적으로 연관되어 있음을 호메오 유전자를 예로 학습하도록 지도한다.</t>
  </si>
  <si>
    <t>[12고생04-01]</t>
  </si>
  <si>
    <t>세포와 조직을 배양하는 세포 공학 기술의 활용 사례를 조사하여 특징과 원리를 다양한 매체를 활용하여 협력적으로 소통할 수 있다.</t>
  </si>
  <si>
    <t>핵이식, 줄기세포, 세포 융합과 같은 세포 공학 기술을 사례로 들어 각 기술의 특징과 원리를 이해하고 설명할 수 있도록 한다.</t>
  </si>
  <si>
    <t>[12고생04-02]</t>
  </si>
  <si>
    <t>유전공학 기술에 활용되는 유전자 재조합 기술을 조사하고 재조합 과정과 원리를 설명하는 모형을 제작하여 설명할 수 있다.</t>
  </si>
  <si>
    <t>[12고생04-03]</t>
  </si>
  <si>
    <t>다양한 분야에서 활용되는 생명공학기술의 유용성을 이해하고 생명공학기술 관련 다양한 학문 분야를 조사하여 발표할 수 있다.</t>
  </si>
  <si>
    <t>유전체 분석 자료를 통한 단백체학, 생물정보학, 시스템생물학 등 최신 학문의 연구 방법을 이해하고 생명공학 발달에 따라 발생할 수 있는 사회적, 윤리적 문제를 합리적으로 해결하는 방법에 대해 토의하도록 한다.</t>
  </si>
  <si>
    <t>[12고생04-04]</t>
  </si>
  <si>
    <t>생명공학기술의 발달로 초래될 수 있는 윤리적, 사회적 문제점을 제시하고 이에 대한 자신의 견해를 근거를 들어 주장할 수 있다.</t>
  </si>
  <si>
    <t>[12고지01-01]</t>
  </si>
  <si>
    <t>지진파의 종류와 특성을 이해하고, 지진파 분석을 통해 지각의 두께, 지구 내부의 성층구조, 구성 물질 등을 이해하는 방법을 설명할 수 있다.</t>
  </si>
  <si>
    <t>[12고지01-02]</t>
  </si>
  <si>
    <t>중력 이상의 개념을 이해하고 지하의 물질 분포와 지하자원 탐사 등에 적용할 수 있다.</t>
  </si>
  <si>
    <t>중력 이상 개념을 다룰 때 지구타원체와 지오이드의 개념을 먼저 다룬다.</t>
  </si>
  <si>
    <t>[12고지01-03]</t>
  </si>
  <si>
    <t>지구자기장의 발생 원리를 이해하고 고지자기를 이용하여 암석이 형성될 당시의 고지리 정보를 파악하는 방법을 설명할 수 있다.</t>
  </si>
  <si>
    <t>[12고지01-04]</t>
  </si>
  <si>
    <t>판구조론과 플룸구조론을 이해하고 이를 바탕으로 지구에서 발생하는 다양한 지질학적 변동의 원인을 설명할 수 있다.</t>
  </si>
  <si>
    <t>[12고지01-05]</t>
  </si>
  <si>
    <t>광물의 물리적, 화학적 성질을 이해하고 이를 바탕으로 광물을 분류할 수 있다.</t>
  </si>
  <si>
    <t>[12고지01-06]</t>
  </si>
  <si>
    <t>편광현미경의 원리를 이해하고 다색성, 간섭색, 소광 등 광물의 광학적 성질에 따라 광물을 분류할 수 있다.</t>
  </si>
  <si>
    <t>[12고지01-07]</t>
  </si>
  <si>
    <t>화성암, 변성암, 퇴적암이 형성될 수 있는 조건을 이해하고, 다양한 환경에서 여러 종류의 암석이 만들어지는 과정을 설명할 수 있다.</t>
  </si>
  <si>
    <t>마그마의 화학 조성과 냉각 속도에 따라 다양한 화성암이 형성되는 과정, 마그마의 냉각 과정에서 분화 과정을 다루도록 하며, 변동대에서 다양한 온도와 압력 조건에서 서로 다른 변성암이 형성될 수 있음을 다루고, 퇴적암이 형성되는 다양한 퇴적 환경과 퇴적 과정을 다룬다. 암석의 종류와 화성작용, 변성작용, 퇴적작용에서는 지하자원의 종류와 분포에 대한 내용을 포함하여 다룬다.</t>
  </si>
  <si>
    <t>[12고지01-08]</t>
  </si>
  <si>
    <t>지사학의 원리를 이용하여 지층의 대비와 생성 순서를 결정하고, 방사성 동위 원소를 이용하여 절대 연령을 구할 수 있다.</t>
  </si>
  <si>
    <t>[12고지01-09]</t>
  </si>
  <si>
    <t>지질시대를 구분하고 지층과 화석을 통하여 지질시대의 고생물과 환경을 해석할 수 있다.</t>
  </si>
  <si>
    <t>[12고지01-10]</t>
  </si>
  <si>
    <t>지층의 주향과 경사를 측정하고, 이를 이용하여 지질도를 작성하고 해석할 수 있다.</t>
  </si>
  <si>
    <t>[12고지01-11]</t>
  </si>
  <si>
    <t>한반도의 지층과 화석 분포를 이해하고 지질학적 변천 과정을 설명할 수 있다.</t>
  </si>
  <si>
    <t>한반도 주변의 판구조 환경과 함께, 시대별 암석 분포 자료를 이용하여 지체구조와 산출 화석을 연계하여 다룬다.</t>
  </si>
  <si>
    <t>[12고지02-01]</t>
  </si>
  <si>
    <t>대기 중에 존재하는 수증기의 상태 변화 과정을 이해하고, 안개와 구름이 생성되는 과정을 구분하여 설명할 수 있다.</t>
  </si>
  <si>
    <t>[12고지02-02]</t>
  </si>
  <si>
    <t>단열선도(skew T-log p diagram)를 이용하여 대기 안정도를 정량적으로 이해하고 상승응결고도(LCL), 대류응결고도(CCL), 자유대류고도(LFC), 평형고도(EL)의 의미와 차이점을 발표할 수 있다.</t>
  </si>
  <si>
    <t>[12고지02-03]</t>
  </si>
  <si>
    <t>압력 경도력, 전향력, 원심력, 마찰력 등 대기와 해양에 작용하는 힘들을 설명할 수 있다.</t>
  </si>
  <si>
    <t>대기와 해양에 작용하는 힘의 크기를 수식으로 유도하도록 한다.</t>
  </si>
  <si>
    <t>[12고지02-04]</t>
  </si>
  <si>
    <t>대기에 작용하는 힘들의 균형 관계를 이해하고, 지균풍, 경도풍, 지상풍이 형성되는 과정을 설명할 수 있다.</t>
  </si>
  <si>
    <t>[12고지02-05]</t>
  </si>
  <si>
    <t>이상화된 지구에서의 대기 대순환 및 실제 지구에서의 대기 대순환의 특징을 비교하여 이해하고, 평균 자오면 순환, 행성파, 편서풍 파동, 제트류의 의미와 날씨 변화에 미치는 역할을 설명할 수 있다.</t>
  </si>
  <si>
    <t>행성파의 발달 과정을 먼저 다루고, 편서풍 파동과 제트류를 대기 대순환 및 지상 고・저기압의 발달과 관련지어 설명한다.</t>
  </si>
  <si>
    <t>[12고지02-06]</t>
  </si>
  <si>
    <t>해수의 물리적, 화학적 성질을 이용하여 수괴의 특성을 이해하고, 해수 중에서 음파가 전달될 때의 특성을 설명할 수 있다.</t>
  </si>
  <si>
    <t>[12고지02-07]</t>
  </si>
  <si>
    <t>해파의 발생 과정과 천해파, 심해파의 성질을 이해하고 해일이 발생하는 여러 가지 원인을 설명할 수 있다.</t>
  </si>
  <si>
    <t>중간 수심파의 개념을 간단히 다루고 심해파와 천해파의 속도를 계산할 수 있다.</t>
  </si>
  <si>
    <t>[12고지02-08]</t>
  </si>
  <si>
    <t>해수에 작용하는 힘들의 평형 관계를 이해하고, 지형류, 경도류, 에크만 수송이 형성되는 과정을 설명할 수 있다.</t>
  </si>
  <si>
    <t>[12고지02-09]</t>
  </si>
  <si>
    <t>해수의 표층 순환과 심층 순환을 이해하고, 위도간 전향력의 변화에 따라 나타나는 서안강화현상을 설명할 수 있다.</t>
  </si>
  <si>
    <t>[12고지02-10]</t>
  </si>
  <si>
    <t>기조력을 수식으로 표현하고 평형 조석론과 동역학적 조석론의 관점에서 조석 현상을 이해하며, 조석 마찰 개념으로 지구 자전의 변화를 설명할 수 있다.</t>
  </si>
  <si>
    <t>달과 태양에 의한 기조력의 크기를 유도하고 조석 진화의 결과 나타나는 현상을 추론할 수 있다.</t>
  </si>
  <si>
    <t>[12고지02-11]</t>
  </si>
  <si>
    <t>대기와 해양의 상호 작용으로 나타나는 엘니뇨-남방진동(ENSO)의 메커니즘을 이해하고, 엘니뇨와 라니냐 시기에 나타나는 지구적 기후변화의 결과와 우리나라 기후변화에 미치는 영향을 설명할 수 있다.</t>
  </si>
  <si>
    <t>[12고지03-01]</t>
  </si>
  <si>
    <t>시간계와 구면좌표계를 이해하여 천체의 위치 변화를 천구에 표현하고, 망원경과 검출기의 특성과 원리를 설명할 수 있다.</t>
  </si>
  <si>
    <t>[12고지03-02]</t>
  </si>
  <si>
    <t>천구상에서 행성의 겉보기 운동을 이해하고 행성의 회합 주기와 공전 주기를 구하는 원리를 적용하여 행성의 공전 궤도 반경을 구할 수 있다.</t>
  </si>
  <si>
    <t>[12고지03-03]</t>
  </si>
  <si>
    <t>연주시차, 분광시차, 주계열 맞추기, 세페이드 변광성의 주기-광도 관계 등을 이용하여 별까지의 거리를 구할 수 있다.</t>
  </si>
  <si>
    <t>[12고지03-04]</t>
  </si>
  <si>
    <t>흑체복사 법칙을 통해 별의 스펙트럼과 표면 온도, 광도와 등급, 색지수 등의 물리량을 이해하고, 별의 분광 분류에 따른 H-R도 상에서의 특징을 설명할 수 있다.</t>
  </si>
  <si>
    <t>흑체복사 법칙을 수식으로 유도하고 다양한 별의 물리량을 계산하도록 한다.</t>
  </si>
  <si>
    <t>[12고지03-05]</t>
  </si>
  <si>
    <t>별의 질량에 따른 진화 과정을 H-R도와 관련지어 이해하고, 별의 내부구조 변화를 설명할 수 있다.</t>
  </si>
  <si>
    <t>[12고지03-06]</t>
  </si>
  <si>
    <t>별의 진화 과정에 따라 중심부에서 일어나는 핵융합 반응의 종류와 생성되는 에너지양의 변화를 이해하고, 변광성, 밀집성, 특이성의 특징을 설명할 수 있다.</t>
  </si>
  <si>
    <t>[12고지03-07]</t>
  </si>
  <si>
    <t>성간 소광과 적색화를 통해 알 수 있는 성간 티끌의 분포를 이해하고, 성간 기체의 계층적 구조에 의한 발광성운과 전리수소 영역을 설명할 수 있으며, 성간 분자운이 재사용되어 별이 생성되는 과정을 발표할 수 있다.</t>
  </si>
  <si>
    <t>[12고지03-08]</t>
  </si>
  <si>
    <t>성단의 공간 분포와 21cm 수소선 관측 결과로부터 우리은하의 구조를 이해하고, 태양 부근에 존재하는 항성의 운동과 은하의 속도 곡선으로부터 은하를 구성하는 물질 분포와 은하의 질량을 설명할 수 있다.</t>
  </si>
  <si>
    <t>별의 시선속도와 접선속도 분포로부터 공간 운동을 이해하고 21cm 수소선 관측 자료를 이용하여 우리은하의 나선팔 구조를 설명할 수 있다.</t>
  </si>
  <si>
    <t>[12고지03-09]</t>
  </si>
  <si>
    <t>은하의 분류 기준 체계와 외부은하의 크기, 질량-광도비 등의 일반적 특징을 이해하고, 활동 은하핵의 특성과 은하 병합의 결과를 설명할 수 있다.</t>
  </si>
  <si>
    <t>[12고지03-10]</t>
  </si>
  <si>
    <t>허블-르메트르 법칙을 통해 허블 상수와 우주의 나이를 계산할 수 있으며, 대폭발 우주론에 의한 우주의 진화 과정과 대폭발 우주론을 지지하는 관측적 사실을 설명할 수 있다.</t>
  </si>
  <si>
    <t>대폭발 핵융합과 우주배경복사가 대폭발 우주론을 지지하는 증거가 될 수 있음을 이해하도록 한다.</t>
  </si>
  <si>
    <t>[12고지03-11]</t>
  </si>
  <si>
    <t>우주론적 원리를 통해 고전적 우주 모형으로부터 급팽창 우주와 가속 팽창 우주 모형을 포함하는 현대 우주론이 정립되는 과정을 이해하고 표준 모형을 설명할 수 있다.</t>
  </si>
  <si>
    <t>[12과연01-01]</t>
  </si>
  <si>
    <t>토론과 조사를 통해 귀납적 연구 방법과 가설 연역적 연구 방법의 특징과 차이점을 설명할 수 있다.</t>
  </si>
  <si>
    <t>[12과연01-02]</t>
  </si>
  <si>
    <t>문제 인식, 가설 설정, 변인 통제, 자료 해석, 결론 도출, 일반화 등의 과학 탐구 요소의 의미를 설명할 수 있다.</t>
  </si>
  <si>
    <t>[12과연01-03]</t>
  </si>
  <si>
    <t>과학 연구의 윤리 규정의 중요성을 인식한다.</t>
  </si>
  <si>
    <t>과학 연구의 윤리 규정의 사례 제시뿐만 아니라 연구 윤리 미준수로 나타나는 과학계 및 사회적 문제를 다루도록 한다.</t>
  </si>
  <si>
    <t>[12과연01-04]</t>
  </si>
  <si>
    <t>관심 있는 연구 주제를 탐색하고 관련 자료를 찾아 구체적이고 독창적인 연구 주제를 선정할 수 있다.</t>
  </si>
  <si>
    <t>연구 주제 선정 시 학생이 주도적으로 주제를 선정하도록 하며, 연구 여건이나 흥미도 등을 종합적으로 고려하여 선정할 수 있다.</t>
  </si>
  <si>
    <t>[12과연02-01]</t>
  </si>
  <si>
    <t>자료 및 문헌 조사를 통해 연구 주제와 관련 자료를 모을 수 있다.</t>
  </si>
  <si>
    <t>[12과연02-02]</t>
  </si>
  <si>
    <t>연구 목적에 대한 연구 문제 또는 연구 가설을 설정할 수 있다.</t>
  </si>
  <si>
    <t>연구 문제와 연구 가설을 구분하고, 과학자들이 설정한 연구 문제와 연구 가설의 사례를 다루도록 한다.</t>
  </si>
  <si>
    <t>[12과연02-03]</t>
  </si>
  <si>
    <t>연구 목적을 달성할 수 있는 연구 방법과 내용을 설계하고 필요한 재료와 기기를 확보할 수 있다.</t>
  </si>
  <si>
    <t>[12과연02-04]</t>
  </si>
  <si>
    <t>과학 연구를 수행하여 자료를 수집하고 표, 그래프 등으로 변환할 수 있다.</t>
  </si>
  <si>
    <t>과학 연구 수행에서는 연구 일지를 작성하도록 지도하며, 실험 결과를 표나 그래프로 전환할 때, 변인의 관계를 파악하고 가독성을 높이기 위한 형태로 작성하도록 지도한다.</t>
  </si>
  <si>
    <t>[12과연03-01]</t>
  </si>
  <si>
    <t>자료를 해석하여 연구 문제 또는 연구 가설에 대한 해답을 검증할 수 있다.</t>
  </si>
  <si>
    <t>[12과연03-02]</t>
  </si>
  <si>
    <t>연구 결과 해석을 바탕으로 동료들과 토론하며 연구 결론을 도출할 수 있다.</t>
  </si>
  <si>
    <t>[12과연03-03]</t>
  </si>
  <si>
    <t>연구 결과를 과학 연구 보고서 형식에 맞추어 보고서로 작성할 수 있다.</t>
  </si>
  <si>
    <t>연구 보고서 형식은 서론(연구 배경, 연구 필요성 및 목적, 연구 문제 또는 연구 가설), 연구 방법(재료 및 방법), 연구 결과, 고찰, 결론, 참고 문헌 등으로 구성할 수 있다. 예비 과학자인 학생이 연구한다는 측면을 고려하여 서론에서 별도의 항목으로 연구 동기를 구성할 수 있다.</t>
  </si>
  <si>
    <t>[12과연03-04]</t>
  </si>
  <si>
    <t>연구 결과를 구두 또는 포스터 형식으로 공개 발표할 수 있다.</t>
  </si>
  <si>
    <t>[12정과01-01]</t>
  </si>
  <si>
    <t>함수 정의와 호출의 원리를 이해하고, 매개변수를 활용한 함수 프로그램을 작성한다.</t>
  </si>
  <si>
    <t>[12정과01-02]</t>
  </si>
  <si>
    <t>주어진 문제에서 적용할 수 있는 재귀관계를 파악하고, 재귀구조를 활용하여 프로그램을 작성한다.</t>
  </si>
  <si>
    <t>많은 알고리즘의 코드가 재귀적으로 구성되어 있고 재귀구조를 통해 높은 수준의 생산성을 기대할 수 있다. 문제 내에서 재귀관계를 파악할 때는 수학적 귀납법을 활용할 수 있음을 이해하고, 문제 해결책을 재귀구조를 활용하여 설계하고 프로그래밍할 수 있어야 한다. 또한, 이후의 학습 내용이 많은 부분 재귀구조와 관련되어 있음을 판단할 수 있어야 한다.</t>
  </si>
  <si>
    <t>[12정과01-03]</t>
  </si>
  <si>
    <t>반복구조와 재귀구조를 활용하여 문제를 해결하고, 두 방식의 차이를 비교‧분석한다.</t>
  </si>
  <si>
    <t>재귀구조와 반복구조는 문제 해결책을 설계하는 방법이나 코드의 표현에 있어서 서로 다른 지향점을 갖는다. 특정한 문제를 해결할 때 재귀구조를 사용하여 프로그래밍하는 것과 반복구조를 사용하여 프로그래밍하는 방식의 차이를 구체적으로 비교하여 설명할 수 있어야 한다.</t>
  </si>
  <si>
    <t>[12정과02-01]</t>
  </si>
  <si>
    <t>스택과 큐의 원리를 이해하고, 순차적인 데이터 구조를 이용하여 스택과 큐를 구현한다.</t>
  </si>
  <si>
    <t>선입선출, 후입선출 구조를 활용하면 복잡한 문제를 간단하게 해결할 수 있음을 이해할 수 있어야 한다. 프로그래밍 언어의 특성에 따라 배열이나 리스트를 활용하여 대표적인 선입선출, 후입선출 구조인 스택과 큐를 구현하고 문제를 해결하는 데 활용할 수 있어야 한다.</t>
  </si>
  <si>
    <t>[12정과02-02]</t>
  </si>
  <si>
    <t>스택, 큐를 활용하여 문제를 효율적으로 해결하는 프로그램을 작성한다.</t>
  </si>
  <si>
    <t>[12정과02-03]</t>
  </si>
  <si>
    <t>인접행렬과 인접리스트를 활용하여 트리와 그래프를 구현한다.</t>
  </si>
  <si>
    <t>[12정과02-04]</t>
  </si>
  <si>
    <t>트리, 그래프를 활용하여 문제를 효율적으로 해결하는 프로그램을 작성한다.</t>
  </si>
  <si>
    <t>[12정과03-01]</t>
  </si>
  <si>
    <t>문제를 분석하여 상태 공간으로 구조화하고, 상태 공간을 모두 탐색하여 문제를 해결하는 알고리즘을 설계한다.</t>
  </si>
  <si>
    <t>[12정과03-02]</t>
  </si>
  <si>
    <t>문제의 상태 공간 일부를 배제하는 알고리즘을 설계하고, 기존의 탐색기반 알고리즘과 비교‧분석한다.</t>
  </si>
  <si>
    <t>상태 공간 일부를 배제하고도 정확한 답을 구할 수 있는 분기한정법과 탐욕법 등의 알고리즘 설계 방법이 상태 공간을 배제하는 원리를 설명하고, 이를 활용하여 문제를</t>
  </si>
  <si>
    <t>[12정과03-03]</t>
  </si>
  <si>
    <t>전체 문제를 부분 문제로 분해하고, 전체 문제와 부분 문제의 관계를 발견한다.</t>
  </si>
  <si>
    <t>[12정과03-04]</t>
  </si>
  <si>
    <t>부분 문제를 해결한 결과를 이용하여 전체 문제를 해결하는 알고리즘을 설계한다.</t>
  </si>
  <si>
    <t>퀵 정렬, 합병 정렬 등을 활용하여 분할정복법이 문제를 해결하는 원리를 이해하고, 분할정복법을 활용하여 해결할 수 있는 문제를 탐색하여 해결 알고리즘을 설계할 수 있어야 한다.</t>
  </si>
  <si>
    <t>[12정과03-05]</t>
  </si>
  <si>
    <t>부분 문제가 중복으로 적용되지 않는 알고리즘을 설계하고 기존의 관계기반 알고리즘과 비교‧분석한다.</t>
  </si>
  <si>
    <t>배열 등을 활용하여 중복으로 계산되는 부분 문제들의 답을 저장하여 효율을 높이는 동적계획법의 원리를 설명하고, 이를 활용하여 문제를 해결하는 알고리즘을 설계할 수 있어야 한다. 동적계획법과 분할정복법을 기반으로 한 알고리즘 간의 차이를 여러 측면에서 설명할 수 있어야 한다.</t>
  </si>
  <si>
    <t>[12정과03-06]</t>
  </si>
  <si>
    <t>알고리즘의 복잡도를 빅오 표기법으로 표현하고 다른 알고리즘과 비교한다.</t>
  </si>
  <si>
    <t>[12정과04-01]</t>
  </si>
  <si>
    <t>다양한 학문 분야에서 컴퓨터과학의 기본 개념과 원리를 바탕으로 해결할 수 있는 실생활의 문제를 발견한다.</t>
  </si>
  <si>
    <t>[12정과04-02]</t>
  </si>
  <si>
    <t>발견한 문제를 분석하고, 문제를 해결하기 위한 프로젝트 수행 과정을 설계한다.</t>
  </si>
  <si>
    <t>프로젝트 수행 과정은 프로그래밍을 활용한 문제 해결 절차 즉, 문제 분석 및 구조화, 효율적으로 해결할 수 있는 알고리즘 설계, 프로그래밍을 통한 자동화, 그리고 검증하는 단계까지 포함하고 있음을 이해하고, 절차에 맞게 문제 해결 과정을 설계할 수 있어야 한다.</t>
  </si>
  <si>
    <t>[12정과04-03]</t>
  </si>
  <si>
    <t>다양한 오픈소스 및 라이브러리를 활용하여 협력적으로 문제를 해결하기 위한 프로그램을 작성한다.</t>
  </si>
  <si>
    <t>[12정과04-04]</t>
  </si>
  <si>
    <t>완성도 높은 프로그램을 구현하기 위하여 테스트와 디버깅 과정을 통해 검증한다.</t>
  </si>
  <si>
    <t>[12정과04-05]</t>
  </si>
  <si>
    <t>프로젝트의 산출물을 기능적, 윤리적 관점에서 평가하고 결과를 공유한다.</t>
  </si>
  <si>
    <t>[12물실01-01]</t>
  </si>
  <si>
    <t>측정 계기의 정확도와 정밀도를 이해하고, 오차의 원인과 종류, 오차의 전파를 설명할 수 있으며, 유효 숫자의 의미를 이해하고 적절하게 사용할 수 있다.</t>
  </si>
  <si>
    <t>모든 실험은 측정에서 시작하며, 실험을 수행하면서 측정을 하면 측정 범위, 정밀도, 감도 등의 한계로 항상 오차가 발생한다는 것을 이해하도록 한다. 오차 분석을 바탕으로 한 데이터 정리, 그래프, 표 등 자료 처리 등은 실험 보고서 작성에서 빠질 수 없다는 점을 설명한다.</t>
  </si>
  <si>
    <t>[12물실01-02]</t>
  </si>
  <si>
    <t>최소 제곱법을 이용한 추세선과 신뢰구간을 그래프로 표현할 수 있다.</t>
  </si>
  <si>
    <t>[12물실01-03]</t>
  </si>
  <si>
    <t>오실로스코프 장치의 사용법을 알고, 함수 발생기를 연결하여 파형을 분석할 수 있다.</t>
  </si>
  <si>
    <t>[12물실01-04]</t>
  </si>
  <si>
    <t>컴퓨터와 각종 센서를 이용하는 실험을 수행하고 측정한 자료를 처리할 수 있다.</t>
  </si>
  <si>
    <t>운동 센서, 포토게이트, 힘 센서, 전압 센서, 전류 센서 등 다양한 종류의 센서를 활용하는 간단한 실험을 설계하여 수행하도록 한다.</t>
  </si>
  <si>
    <t>[12물실02-01]</t>
  </si>
  <si>
    <t>시간에 따른 물체의 속도와 가속도를 측정하여 등가속도 직선 운동을 해석할 수 있다.</t>
  </si>
  <si>
    <t>[12물실02-02]</t>
  </si>
  <si>
    <t>일정한 크기의 힘이 물체에 작용할 때 질량과 가속도 사이의 관계를 실험으로 확인할 수 있다.</t>
  </si>
  <si>
    <t>[12물실02-03]</t>
  </si>
  <si>
    <t>두 물체 사이의 접촉면의 성질에 따른 마찰력의 크기를 실험을 통해 비교할 수 있다.</t>
  </si>
  <si>
    <t>[12물실02-04]</t>
  </si>
  <si>
    <t>실험을 통해 중력 가속도를 측정할 수 있다.</t>
  </si>
  <si>
    <t>스마트폰, 마이크로프로세서 기반 장치 등을 활용하여 자유 낙하하는 물체와 포물선 운동하는 물체의 운동을 분석하여 중력 가속도를 측정한다.</t>
  </si>
  <si>
    <t>[12물실02-05]</t>
  </si>
  <si>
    <t>원운동 하는 물체의 구심력과 관련된 물리량을 실험을 통해 확인할 수 있다.</t>
  </si>
  <si>
    <t>원운동의 주기를 측정할 수 있고 원운동의 주기와 구심력, 반지름과의 관계를 이해하도록 한다.</t>
  </si>
  <si>
    <t>[12물실02-06]</t>
  </si>
  <si>
    <t>진자의 주기에 영향을 주는 요인을 실험을 통해 확인할 수 있다.</t>
  </si>
  <si>
    <t>[12물실02-07]</t>
  </si>
  <si>
    <t>두 물체가 접촉하고 있다가 서로 밀어서 떨어질 때 총 운동량이 보존됨을 실험을 통해 확인할 수 있다.</t>
  </si>
  <si>
    <t>[12물실02-08]</t>
  </si>
  <si>
    <t>용수철 진자 실험을 통해 역학적 에너지가 보존됨을 확인할 수 있다.</t>
  </si>
  <si>
    <t>[12물실02-09]</t>
  </si>
  <si>
    <t>열량계를 이용해 얼음의 융해열을 측정하고, 물의 상태 변화에 따른 온도 변화를 설명할 수 있다.</t>
  </si>
  <si>
    <t>얼음의 융해열을 측정할 때 온도계 대신 정확한 실험을 위해 MBL 온도 센서를 사용하여 시간에 따른 온도 그래프를 얻을 수 있도록 한다.</t>
  </si>
  <si>
    <t>[12물실02-10]</t>
  </si>
  <si>
    <t>줄의 실험 장치를 이용하여 열의 일당량을 측정할 수 있다.</t>
  </si>
  <si>
    <t>[12물실03-01]</t>
  </si>
  <si>
    <t>회로 시험기를 이용하여 다양한 전하 분포에 의한 등전위선을 그릴 수 있다.</t>
  </si>
  <si>
    <t>긴 직선 도선 사이의 등전위선과 전기력선의 실험 결과로부터 평면 전하 사이의 등전위면과 전기력선으로 사고를 확장한다.</t>
  </si>
  <si>
    <t>[12물실03-02]</t>
  </si>
  <si>
    <t>간이 축전기를 만들어 두 극판 사이의 거리 및 면적에 따른 전기 용량의 변화를 측정할 수 있다.</t>
  </si>
  <si>
    <t>[12물실03-03]</t>
  </si>
  <si>
    <t>전압, 전류, 저항 사이의 관계를 알아보는 실험을 설계하여 수행할 수 있다.</t>
  </si>
  <si>
    <t>[12물실03-04]</t>
  </si>
  <si>
    <t>건전지 내부 저항의 크기를 측정하는 실험을 설계하여 수행할 수 있다.</t>
  </si>
  <si>
    <t>[12물실03-05]</t>
  </si>
  <si>
    <t>휘트스톤브리지를 이용하여 미지 저항체의 전기 저항 값을 측정할 수 있다.</t>
  </si>
  <si>
    <t>[12물실03-06]</t>
  </si>
  <si>
    <t>자기장 속에서 전류가 흐르는 도선이 받는 힘의 크기와 방향에 영향을 주는 요인을 실험을 통해 확인할 수 있다.</t>
  </si>
  <si>
    <t>[12물실04-01]</t>
  </si>
  <si>
    <t>정상파와 공명 현상이 일어나는 조건을 실험을 통해 확인할 수 있다.</t>
  </si>
  <si>
    <t>마이크로프로세서 기반의 음파발생장치와 공기 기둥 공명 실험 장치를 이용한 실험을 수행할 수 있다.</t>
  </si>
  <si>
    <t>[12물실04-02]</t>
  </si>
  <si>
    <t>구면 거울에 의해 상이 형성되는 원리를 실험을 통해 확인할 수 있다.</t>
  </si>
  <si>
    <t>[12물실04-03]</t>
  </si>
  <si>
    <t>빛이 매질의 경계면에서 굴절하는 현상을 관찰하여 매질의 굴절률을 구하고 전반사의 조건을 찾을 수 있다.</t>
  </si>
  <si>
    <t>[12물실04-04]</t>
  </si>
  <si>
    <t>렌즈에 의한 상을 관찰하고, 이를 분석하여 렌즈 방정식을 확인할 수 있다.</t>
  </si>
  <si>
    <t>[12물실04-05]</t>
  </si>
  <si>
    <t>레이저를 이용해 이중 슬릿에 의한 빛의 간섭 현상을 관찰하고, 이를 분석하여 빛의 파장을 구할 수 있다.</t>
  </si>
  <si>
    <t>[12물실04-06]</t>
  </si>
  <si>
    <t>슬릿의 폭과 간격, 빛의 파장에 따라 무늬가 어떻게 나타나는지 관측하고 변인 관계를 수식으로 표현할 수 있다.</t>
  </si>
  <si>
    <t>단일 슬릿, 다중 슬릿을 사용하여 실험을 수행한다.</t>
  </si>
  <si>
    <t>[12물실04-07]</t>
  </si>
  <si>
    <t>편광에 의해 나타나는 현상을 실험으로 확인할 수 있다.</t>
  </si>
  <si>
    <t>[12물실03-07]</t>
  </si>
  <si>
    <t>코일에 발생하는 유도 기전력의 크기와 방향에 영향을 주는 요인을 실험을 통해 확인할 수 있다.</t>
  </si>
  <si>
    <t>[12물실03-08]</t>
  </si>
  <si>
    <t>RC, RL 직렬 회로에서 시간 상수를 측정하는 실험을 설계하여 수행할 수 있다.</t>
  </si>
  <si>
    <t>[12물실03-09]</t>
  </si>
  <si>
    <t>RLC 회로의 특성을 실험을 통해 확인할 수 있다.</t>
  </si>
  <si>
    <t>[12물실03-10]</t>
  </si>
  <si>
    <t>p-n 접합 다이오드의 정류 특성을 실험을 통해 확인하고 정류 회로를 만들 수 있다.</t>
  </si>
  <si>
    <t>실험 결과를 바탕으로 다이오드를 응용하는 다양한 사례를 조사⋅토의하도록 한다.</t>
  </si>
  <si>
    <t>[12물실05-01]</t>
  </si>
  <si>
    <t>광전효과 실험을 통해 빛의 세기와 광전류의 관계를 확인하고 빛의 입자성을 설명할 수 있다.</t>
  </si>
  <si>
    <t>[12물실05-02]</t>
  </si>
  <si>
    <t>음극선 실험을 통해 음극선의 성질을 설명할 수 있다.</t>
  </si>
  <si>
    <t>관찰 결과를 바탕으로 음극선을 이루는 입자들이 지닌 물리적 성질을 추론할 수 있도록 한다.</t>
  </si>
  <si>
    <t>[12물실05-03]</t>
  </si>
  <si>
    <t>균일한 자기장 속에 있는 전자의 운동을 통해 전자의 비전하를 측정할 수 있다.</t>
  </si>
  <si>
    <t>[12물실05-04]</t>
  </si>
  <si>
    <t>원자 내부의 전자가 특정한 에너지 준위를 가지고 있음을 프랑크-헤르츠 실험을 통해 확인할 수 있다.</t>
  </si>
  <si>
    <t>실험 결과를 활용하여 프랑크-헤르츠 실험의 과학사적 의의를 토의하도록 한다.</t>
  </si>
  <si>
    <t>[12화실01-01]</t>
  </si>
  <si>
    <t>유효숫자 처리 원칙을 이해하고, 이를 바탕으로 측정값과 계산값을 적절하게 표현할 수 있다.</t>
  </si>
  <si>
    <t>실제 측정 기구의 측정 한계와 유효숫자의 처리 원칙을 연관시키는 수준으로 다룬다.</t>
  </si>
  <si>
    <t>[12화실01-02]</t>
  </si>
  <si>
    <t>여러 가지 부피, 질량, 온도, pH 측정 도구의 특징을 비교하고 각각의 사용법을 익혀, 상황에 적절한 도구를 선택하여 활용할 수 있다.</t>
  </si>
  <si>
    <t>[12화실01-03]</t>
  </si>
  <si>
    <t>다양한 첨단 기자재의 원리를 이해하고 첨단 기자재로 얻은 데이터를 해석할 수 있다.</t>
  </si>
  <si>
    <t>[12화실01-04]</t>
  </si>
  <si>
    <t>여러 가지 농도의 개념을 이용하여 필요한 농도의 용액을 제조할 수 있다.</t>
  </si>
  <si>
    <t>[12화실02-01]</t>
  </si>
  <si>
    <t>원소의 스펙트럼을 관찰하여 얻은 정보를 바탕으로 원자 오비탈의 에너지 준위가 양자화되어 있음을 설명할 수 있다.</t>
  </si>
  <si>
    <t>[12화실02-02]</t>
  </si>
  <si>
    <t>분자량을 아는 기체의 질량과 부피를 측정하여 기체 상수를 도출하고, 이론값과 차이가 발생한 원인에 대해 토론하여 실험 방법을 개선할 수 있다.</t>
  </si>
  <si>
    <t>[12화실02-03]</t>
  </si>
  <si>
    <t>이상 기체 방정식을 활용하여 미지 기체의 분자량을 측정할 수 있는 실험을 설계ㆍ 수행함으로써 이론을 바탕으로 미지 세계를 밝히는 과학의 즐거움을 느낄 수 있다.</t>
  </si>
  <si>
    <t>[12화실02-04]</t>
  </si>
  <si>
    <t>3D 모델링을 통해 단순 입방, 체심 입방, 면심 입방, 육방 밀집 결정 구조를 만들고, 각 결정의 단위세포의 특징을 설명할 수 있다.</t>
  </si>
  <si>
    <t>[12화실02-05]</t>
  </si>
  <si>
    <t>다양한 여과법을 이해하고 필요한 장치를 꾸며 혼합물을 분리할 수 있다.</t>
  </si>
  <si>
    <t>[12화실02-06]</t>
  </si>
  <si>
    <t>추출의 원리를 이용하여 혼합물을 분리하고, 분배 계수를 이용하여 효과적 추출 방법을 논의할 수 있다.</t>
  </si>
  <si>
    <t>[12화실03-01]</t>
  </si>
  <si>
    <t>여러 가지 화학 반응의 반응열을 측정하여 헤스 법칙이 성립함을 확인하고, 반응 엔탈피를 포함한 열화학 반응식으로 나타낼 수 있다.</t>
  </si>
  <si>
    <t>[12화실03-02]</t>
  </si>
  <si>
    <t>농도, 온도, 압력 변화에 따른 평형 이동을 관찰하고 평형 상수를 구하여 화학 평형과 수학적 규칙의 연관성에 호기심을 가질 수 있다.</t>
  </si>
  <si>
    <t>평형 상수 측정 시 분광 광도계를 대체할 수 있는 센서 등을 활용할 수 있다.</t>
  </si>
  <si>
    <t>[12화실03-03]</t>
  </si>
  <si>
    <t>중화 적정 실험을 수행하여 미지 산의 농도를 구함으로써 과학적 문제해결 방식에 즐거움을 느낄 수 있다.</t>
  </si>
  <si>
    <t>[12화실02-07]</t>
  </si>
  <si>
    <t>회전 증발 농축기를 이용하여 용액에서 용매를 제거하고 특정 성분의 물질을 얻을 수 있다.</t>
  </si>
  <si>
    <t>회전 증발 농축기 사용 시 흄 후드와 같은 환기 시설이 갖추어지지 않은 경우 휘발성이 강하고 유독한 용매는 사용하지 않는다.</t>
  </si>
  <si>
    <t>[12화실02-08]</t>
  </si>
  <si>
    <t>재결정과 분별 결정의 원리를 이해하고, 이를 이용하여 혼합물을 분리할 수 있다.</t>
  </si>
  <si>
    <t>[12화실02-09]</t>
  </si>
  <si>
    <t>다양한 종류의 크로마토그래피 원리를 이해하고, 이를 이용하여 혼합물을 분리할 수 있다.</t>
  </si>
  <si>
    <t>[12화실02-10]</t>
  </si>
  <si>
    <t>분별 증류의 원리를 이해하고, 이를 이용하여 혼합물을 분리할 수 있다.</t>
  </si>
  <si>
    <t>[12화실02-11]</t>
  </si>
  <si>
    <t>여러 가지 액체의 증기압을 측정하고, 액체의 종류에 따른 증기압을 분자 간 상호 작용의 크기로 설명할 수 있다.</t>
  </si>
  <si>
    <t>[12화실02-12]</t>
  </si>
  <si>
    <t>증기압 내림을 현상을 관찰하고, 이를 열역학 관점에서 설명할 수 있다.</t>
  </si>
  <si>
    <t>[12화실02-13]</t>
  </si>
  <si>
    <t>어는점 내림 원리를 이용하여 비휘발성 수용성 고체의 화학식량을 구하는 실험을 설계하고 수행할 수 있다.</t>
  </si>
  <si>
    <t>[12화실02-14]</t>
  </si>
  <si>
    <t>용액의 삼투압을 측정하여 고분자 물질의 화학식량을 구할 수 있다.</t>
  </si>
  <si>
    <t>[12화실04-01]</t>
  </si>
  <si>
    <t>여러 가지 탄화수소의 서로 다른 성질을 관찰하고, 이를 분자 구조 관점에서 설명할 수 있다.</t>
  </si>
  <si>
    <t>[12화실04-02]</t>
  </si>
  <si>
    <t>여러 가지 알코올의 산화 실험을 수행하고, 생성물을 확인하기 위한 실험을 설계할 수 있다.</t>
  </si>
  <si>
    <t>[12화실04-03]</t>
  </si>
  <si>
    <t>다양한 탄화수소 유도체의 반응을 관찰하고, 이를 작용기의 특성과 관련지어 설명할 수 있다.</t>
  </si>
  <si>
    <t>[12화실04-04]</t>
  </si>
  <si>
    <t>비누를 제조하고, 그 원리를 설명할 수 있다.</t>
  </si>
  <si>
    <t>비누화 반응은 시간이 다소 소요되므로 비누의 pH는 이후 차시에 확인할 수 있다.</t>
  </si>
  <si>
    <t>[12화실03-04]</t>
  </si>
  <si>
    <t>산화･환원 적정의 원리를 이용하여 미지의 수용액 농도를 구함으로써 과학적 문제해결 방식의 즐거움을 느낄 수 있다.</t>
  </si>
  <si>
    <t>[12화실03-05]</t>
  </si>
  <si>
    <t>산화･환원 반응을 이용하여 화학 전지를 꾸미고 기전력을 결정하는 요인을 설명할 수 있다.</t>
  </si>
  <si>
    <t>[12화실03-06]</t>
  </si>
  <si>
    <t>전기 분해를 통해 두 전극에서 생성되는 물질의 양을 측정하고 이론적 예측값과 비교할 수 있다.</t>
  </si>
  <si>
    <t>두 전극에서 생성되는 물질의 양을 단순 계산하는 활동을 지양하고, 실험을 통해 얻을 수 있는 물질의 양을 예측하고 검증하는 탐구하는 활동을 중심으로 다룬다.</t>
  </si>
  <si>
    <t>[12화실03-07]</t>
  </si>
  <si>
    <t>화학 반응의 초기 반응 속도를 측정하는 실험을 통하여 반응 속도식과 반응 차수를 구할 수 있다.</t>
  </si>
  <si>
    <t>[12화실03-08]</t>
  </si>
  <si>
    <t>농도, 온도, 촉매가 반응 속도에 미치는 영향을 알아보기 위한 실험을 설계할 수 있다.</t>
  </si>
  <si>
    <t>[12화실04-05]</t>
  </si>
  <si>
    <t>벤젠, 나프탈렌 등 방향족 탄화수소의 구조와 성질을 설명할 수 있다.</t>
  </si>
  <si>
    <t>벤젠, 나프탈렌은 휘발성과 유독성이 있으므로 시약을 직접 다루는 활동을 지양하고, 분자 모델링 활동을 통해 구조와 성질을 설명한다.</t>
  </si>
  <si>
    <t>[12화실04-06]</t>
  </si>
  <si>
    <t>아스피린을 합성하고, 합성 화학이 인류 문명에 미친 영향에 대해 논의할 수 있다.</t>
  </si>
  <si>
    <t>[12생실01-01]</t>
  </si>
  <si>
    <t>광학현미경으로 플랑크톤을 관찰하여 동물성 플랑크톤과 식물성 플랑크톤으로 구분할 수 있다.</t>
  </si>
  <si>
    <t>[12생실01-02]</t>
  </si>
  <si>
    <t>주사전자현미경의 구조와 원리를 이해하고 주사전자현미경을 사용하여 선명한 상을 찾을 수 있다.</t>
  </si>
  <si>
    <t>[12생실01-03]</t>
  </si>
  <si>
    <t>용액의 농도에 따른 삼투현상에 의한 원형질 분리 현상을 관찰할 수 있다.</t>
  </si>
  <si>
    <t>[12생실01-04]</t>
  </si>
  <si>
    <t>삼투압과 수분퍼텐셜의 의미를 이해하고 실험을 통해 삼투압을 측정할 수 있다.</t>
  </si>
  <si>
    <t>[12생실01-05]</t>
  </si>
  <si>
    <t>삼투현상에 영향을 미치는 요인을 알아보기 위한 탐구 활동을 설계하고 수행할 수 있다.</t>
  </si>
  <si>
    <t>[12생실01-06]</t>
  </si>
  <si>
    <t>식물의 다양한 조직과 기관을 관찰하고 구조와 기능을 관련지어 설명할 수 있다.</t>
  </si>
  <si>
    <t>[12생실01-07]</t>
  </si>
  <si>
    <t>무척추동물과 척추동물을 구성하는 각 기관의 위치, 구조, 기능을 관련지어 추론할 수 있다.</t>
  </si>
  <si>
    <t>[12생실01-08]</t>
  </si>
  <si>
    <t>효소의 반응 속도에 영향을 미치는 요인을 알아보기 위한 실험을 수행하고 결론을 도출할 수 있다.</t>
  </si>
  <si>
    <t>[12생실01-09]</t>
  </si>
  <si>
    <t>광합성 속도에 영향을 미치는 요인을 알아보기 위한 실험을 수행하고 결론을 도출할 수 있다.</t>
  </si>
  <si>
    <t>빛, 온도와 pH 등 광합성 속도에 영향을 미치는 여러 가지 요인을 고려하여 다양한 실험을 수행할 수 있도록 한다.</t>
  </si>
  <si>
    <t>[12생실01-10]</t>
  </si>
  <si>
    <t>환경 요인에 따른 세포호흡의 속도를 측정하는 실험의 가설을 설정하여 실험을 설계하고 수행할 수 있다.</t>
  </si>
  <si>
    <t>[12생실01-11]</t>
  </si>
  <si>
    <t>효모의 발효에 영향을 미치는 요인을 변인으로 실험을 설계하고 수행할 수 있다.</t>
  </si>
  <si>
    <t>[12생실01-12]</t>
  </si>
  <si>
    <t>원심분리기를 이용하여 혈액 내 적혈구가 차지하는 비율을 측정하는 실험을 수행하고, 산소호흡에 필요한 산소의 운반에 적혈구가 갖는 이점을 조사하여 발표할 수 있다.</t>
  </si>
  <si>
    <t>혈액을 원심 분리하여 혈액에서 적혈구가 차지하는 비율을 측정하고 의미를 설명할 수 있도록 한다.</t>
  </si>
  <si>
    <t>[12생실02-01]</t>
  </si>
  <si>
    <t>물리･화학적 자극에 대해 동물이 보이는 반응을 관찰하고 결과를 바르게 해석할 수 있다.</t>
  </si>
  <si>
    <t>사람과 다른 동물이 여러 가지 자극에 반응하는 것을 실험을 통해 확인하고 신호 전달 경로와 자극과 반응의 관계를 일반화할 수 있도록 한다.</t>
  </si>
  <si>
    <t>[12생실02-02]</t>
  </si>
  <si>
    <t>식물의 자극과 반응을 확인하는 실험을 설계하여 수행하고 결론을 도출할 수 있다.</t>
  </si>
  <si>
    <t>씨앗 발아 및 유식물 생장 실험을 통해 식물의 굴중성과 굴광성 실험을 할 수 있음을 안내하거나, 식충식물이나 미모사 잎에서 보이는 자극과 반응에 대해 식물 내에서 일어나는 변화를 관찰하는 실험을 설계하여 수행할 수 있도록 한다.</t>
  </si>
  <si>
    <t>[12생실03-01]</t>
  </si>
  <si>
    <t>체세포분열과 감수 분열을 관찰하여 세포분열 단계를 바르게 해석하고 각 단계의 특징에 관해 협력적으로 소통할 수 있다.</t>
  </si>
  <si>
    <t>세포분열의 단계를 관찰하기 위한 실험 방법의 절차가 어떠한 의미를 갖는지를 학습할 수 있도록 한다.</t>
  </si>
  <si>
    <t>[12생실03-02]</t>
  </si>
  <si>
    <t>속씨식물의 꽃가루관 발아 과정을 관찰할 수 있다.</t>
  </si>
  <si>
    <t>[12생실03-03]</t>
  </si>
  <si>
    <t>초파리의 초기 발생 과정을 관찰하고 시기별 특징을 구분하여 설명할 수 있다.</t>
  </si>
  <si>
    <t>[12생실03-04]</t>
  </si>
  <si>
    <t>닭의 발생 과정에 관한 영구표본을 관찰하고 시기별 특징을 다양한 매체를 활용하여 협력적으로 소통할 수 있다.</t>
  </si>
  <si>
    <t>닭의 발생 과정 관련하여 1∼3일차의 초기 발생 과정 이후 시기의 닭 발생 과정을 유정란을 부화시켜 확인하는 실험은 지양하고, 닭 발생 영구표본을 이용하여 관찰한다.</t>
  </si>
  <si>
    <t>[12생실03-05]</t>
  </si>
  <si>
    <t>초파리 침샘염색체를 현미경을 통해 관찰하고 침샘염색체와 일반염색체의 차이를 추론할 수 있다.</t>
  </si>
  <si>
    <t>[12생실03-06]</t>
  </si>
  <si>
    <t>야생형 초파리의 형질과 구별되는 다양한 돌연변이 형질을 관찰할 수 있다.</t>
  </si>
  <si>
    <t>[12생실03-07]</t>
  </si>
  <si>
    <t>초파리 교배 실험을 통해 멘델 유전법칙을 확인하고 결과를 바르게 해석할 수 있다.</t>
  </si>
  <si>
    <t>초파리 교배와 X염색체 연관 유전에 관한 교배는 컴퓨터 시뮬레이션 프로그램을 활용하여 진행할 수도 있다. 교배의 예상 결과를 이론적으로 예측해 보고, 실제로 얻은 결과와 이론적으로 예측한 값의 차이가 발생하는 경우 그 원인에 대해서 탐색하도록 지도한다.</t>
  </si>
  <si>
    <t>[12생실03-08]</t>
  </si>
  <si>
    <t>X 염색체 연관 유전의 원리를 알아보는 교배 실험을 수행하고 결과를 바르게 해석할 수 있다.</t>
  </si>
  <si>
    <t>[12생실03-09]</t>
  </si>
  <si>
    <t>가계 조사와 통계 조사를 통해 사람 유전 형질의 유전 원리를 추론할 수 있다.</t>
  </si>
  <si>
    <t>사람의 유전 형질을 연구하기 어려운 이유를 이해하고 가계도 분석과 통계 조사 등의 연구 필요성을 설명할 수 있도록 한다.</t>
  </si>
  <si>
    <t>[12생실03-10]</t>
  </si>
  <si>
    <t>진화적 관점에서 대립유전자의 빈도 변화를 알아보는 모의실험을 설계하고 수행할 수 있다.</t>
  </si>
  <si>
    <t>[12생실03-11]</t>
  </si>
  <si>
    <t>생물체의 구조와 기능을 진화의 관점에서 이해할 수 있는 사례를 조사하여 발표할 수있다.</t>
  </si>
  <si>
    <t>[12생실03-12]</t>
  </si>
  <si>
    <t>생물을 채집하여 표본을 제작하고 생물을 동정하여 분류할 수 있다.</t>
  </si>
  <si>
    <t>[12생실04-01]</t>
  </si>
  <si>
    <t>방형구법을 이용하여 식물 군집의 특성을 파악하고 우점종을 판별할 수 있다.</t>
  </si>
  <si>
    <t>[12생실04-02]</t>
  </si>
  <si>
    <t>곤충 군집 조사 방법을 이해하고 함정(pit-fall) 트랩을 이용하여 곤충 군집을 조사할 수 있다.</t>
  </si>
  <si>
    <t>[12생실04-03]</t>
  </si>
  <si>
    <t>특정 생태계를 관찰하고 생물 요소와 비생물 요소로 분류하여 이들 사이의 상호관계를 추론할 수 있다.</t>
  </si>
  <si>
    <t>[12생실04-04]</t>
  </si>
  <si>
    <t>단세포 생물 배양을 통해 개체군의 생장 곡선을 그릴 수 있다.</t>
  </si>
  <si>
    <t>효모, 대장균 등을 이용하여 개체군 생장 곡선을 그릴 수 있도록 하며, 단세포 생물 대신 좀개구리밥을 이용하여 실험을 진행할 수 있다.</t>
  </si>
  <si>
    <t>[12생실04-05]</t>
  </si>
  <si>
    <t>동물 개체군에 영향을 주는 생물 요소와 비생물 요소를 추론할 수 있다.</t>
  </si>
  <si>
    <t>[12생실04-06]</t>
  </si>
  <si>
    <t>환경오염 물질이 식물의 생장에 미치는 영향에 관한 실험을 설계하고 수행할 수 있다.</t>
  </si>
  <si>
    <t>환경오염 물질 등 식물의 생장에 영향을 미칠 수 있는 다양한 환경 요소에 대해 탐색하도록 하고, 이러한 요인들이 식물의 생장에 어떠한 영향을 미치는지를 확인할 수 있는 실험을 설계하도록 한다.</t>
  </si>
  <si>
    <t>[12생실05-01]</t>
  </si>
  <si>
    <t>동물 세포 배양 관련 최신 연구를 조사하고 동물 세포를 계대 배양할 수 있다.</t>
  </si>
  <si>
    <t>[12생실05-02]</t>
  </si>
  <si>
    <t>식물 조직 배양이 활용되는 분야를 조사하고, 식물 조직 배양 실험을 수행할 수 있다.</t>
  </si>
  <si>
    <t>[12생실05-03]</t>
  </si>
  <si>
    <t>세포에서 DNA를 추출하는 실험을 수행하고 실험 과정의 각 단계가 어떤 의미가 있는지 추론할 수 있다.</t>
  </si>
  <si>
    <t>[12생실05-04]</t>
  </si>
  <si>
    <t>전기영동의 원리를 이해하고 DNA 전기영동 실험을 수행하고 결과를 해석할 수 있다.</t>
  </si>
  <si>
    <t>[12생실05-05]</t>
  </si>
  <si>
    <t>제한 효소의 종류가 다양함을 이해하고, 제한 효소의 기능을 확인하는 실험을 설계하여 수행할 수 있다.</t>
  </si>
  <si>
    <t>[12생실05-06]</t>
  </si>
  <si>
    <t>대장균 형질전환 실험을 수행하고, 배양된 대장균의 형질전환 여부를 추론할 수 있다.</t>
  </si>
  <si>
    <t>대장균 형질전환 실험 후 형질전환이 적절히 이루어졌는지 확인하는 방법을 함께 학습할 수 있도록 한다.</t>
  </si>
  <si>
    <t>[12생실05-07]</t>
  </si>
  <si>
    <t>유전자를 증폭하는 실험을 수행하고 결과를 바르게 해석할 수 있다.</t>
  </si>
  <si>
    <t>유전자 클로닝이나 PCR를 통해 유전자 증폭 실험을 할 수 있으며, 실험의 수행뿐만 아니라 해당 기술의 원리와 각 실험 단계에 활용된 시약들의 역할에 대해서 학습할 수 있도록 한다.</t>
  </si>
  <si>
    <t>[12생실05-08]</t>
  </si>
  <si>
    <t>생물정보학의 연구 방법을 이용하여 유전체 분석이 인간의 질병 치료에 기여한 사례를 조사하여 다양한 매체를 활용하여 협력적 소통을 할 수 있다.</t>
  </si>
  <si>
    <t>인간 유전체 정보를 확인할 수 있는 다양한 데이터베이스를 이용하고, 유전체 정보의 의미와 활용 방안에 대해 토론하도록 한다.</t>
  </si>
  <si>
    <t>[12지실01-01]</t>
  </si>
  <si>
    <t>지구타원체 개념으로 지구의 모양과 크기를 이해하고, 인공위성 실측 자료를 이용하여 지오이드의 형태를 그릴 수 있다.</t>
  </si>
  <si>
    <t>[12지실01-02]</t>
  </si>
  <si>
    <t>실제 지진 관측 자료를 이용하여 진앙의 위치와 진원 깊이를 결정하고 지각의 두께를 계산할 수 있다.</t>
  </si>
  <si>
    <t>[12지실01-03]</t>
  </si>
  <si>
    <t>다양한 방법으로 지구의 중력을 측정하고 관측 지점의 고도와 질량 분포를 고려하여 중력을 보정할 수 있다.</t>
  </si>
  <si>
    <t>[12지실01-04]</t>
  </si>
  <si>
    <t>고지자기 자료를 이용하여 대륙의 이동을 해석하는 방법을 이해하고 고지자기 극의 겉보기 이동 경로를 이용하여 지질시대 대륙 이동을 설명할 수 있다.</t>
  </si>
  <si>
    <t>[12지실01-05]</t>
  </si>
  <si>
    <t>해저 지각의 고지자기 분포와 연령 분포 자료를 이용하여 해저 확장 속도를 계산하고 이를 판구조론의 증거로 제시할 수 있다.</t>
  </si>
  <si>
    <t>[12지실01-06]</t>
  </si>
  <si>
    <t>광물의 물리적 성질과 화학적 성질을 이용하여 주요 광물을 분류할 수 있다.</t>
  </si>
  <si>
    <t>[12지실01-07]</t>
  </si>
  <si>
    <t>편광현미경을 이용하여 다색성, 간섭색, 소광 등을 관찰하고 이를 이용하여 광물을 구분하고 분류할 수 있다.</t>
  </si>
  <si>
    <t>[12지실01-08]</t>
  </si>
  <si>
    <t>화성암, 변성암, 퇴적암의 성인과 생성 환경을 이해하고, 이를 바탕으로 각 암석을 분류할 수 있다.</t>
  </si>
  <si>
    <t>암석 표본과 함께 학교 주변의 암석을 직접 관찰하고 분류할 수 있도록 한다.</t>
  </si>
  <si>
    <t>[12지실01-09]</t>
  </si>
  <si>
    <t>지사학의 원리를 적용하여 층서를 대비하고 상대 연령을 결정할 수 있다.</t>
  </si>
  <si>
    <t>[12지실01-10]</t>
  </si>
  <si>
    <t>방사성 동위 원소의 반감기를 이용한 절대 연령 측정 원리를 이해하고, 암석의 절대 연령을 계산할 수 있다.</t>
  </si>
  <si>
    <t>다양한 반감기를 가진 동위원소를 이용하여 절대 연령을 구하는 탐구 활동을 수행한다.</t>
  </si>
  <si>
    <t>[12지실01-11]</t>
  </si>
  <si>
    <t>지질시대별로 산출되는 화석을 이해하고 우리나라에서 산출되는 화석을 통해 고생물의 생존 당시 서식 환경을 추론할 수 있다.</t>
  </si>
  <si>
    <t>우리나라에서 산출되는 화석의 표본을 제시하고 생존 환경을 모둠별 토론 활동을 통해 추론하도록 한다.</t>
  </si>
  <si>
    <t>[12지실01-12]</t>
  </si>
  <si>
    <t>지층의 주향과 경사를 측정하는 방법을 이해하고 지질도를 해석하여 지층의 주향과 경사 및 두께를 계산할 수 있다.</t>
  </si>
  <si>
    <t>실제 지층에서의 주향과 경사를 측정하고 노선 지질도에서 주향과 경사를 분석하는 과정을 이해하도록 한다.</t>
  </si>
  <si>
    <t>[12지실02-01]</t>
  </si>
  <si>
    <t>기압과 수증기량의 관계를 이해하고, 혼합비와 비습 등의 개념을 적용하여 수증기량을 계산할 수 있다.</t>
  </si>
  <si>
    <t>[12지실02-02]</t>
  </si>
  <si>
    <t>단열선도의 구성 요소를 이해하고, 단열선도에서 상승응결고도(LCL), 대류응결고도(CCL), 자유대류고도(LFC)를 구할 수 있다.</t>
  </si>
  <si>
    <t>실제 측정 자료를 이용하여 단열선도에서 수증기량과 관련된 요소를 판단하는 실습을 통해 단열선도를 이해하도록 한다.</t>
  </si>
  <si>
    <t>[12지실02-03]</t>
  </si>
  <si>
    <t>서로 다른 시기의 고도에 따른 기온과 이슬점 온도 분포 자료를 통해 구름의 생성 높이를 구하고 대기 안정도를 설명할 수 있다.</t>
  </si>
  <si>
    <t>[12지실02-04]</t>
  </si>
  <si>
    <t>전향력 효과를 이해할 수 있는 시뮬레이션 자료를 찾아보고, 전향력의 영향을 받는 물체의 운동 경로를 설명할 수 있다.</t>
  </si>
  <si>
    <t>[12지실02-05]</t>
  </si>
  <si>
    <t>지상 일기도와 상층 일기도를 해석하여 지균풍속과 경도풍속을 비교할 수 있다.</t>
  </si>
  <si>
    <t>[12지실02-06]</t>
  </si>
  <si>
    <t>대기 대순환을 이해할 수 있는 시뮬레이션 자료를 찾아보고, 대기 대순환과 평균 자오면 순환으로 설명할 수 있는 현상을 찾아 발표할 수 있다.</t>
  </si>
  <si>
    <t>대기 대순환과 평균 자오면 순환을 설명할 수 있는 동영상 자료를 찾아 모둠별 토론 활동을 통해 자료를 공유할 수 있도록 한다.</t>
  </si>
  <si>
    <t>[12지실02-07]</t>
  </si>
  <si>
    <t>다양한 해역의 ARGO 자료를 분석하여 해수의 성질을 설명할 수 있다.</t>
  </si>
  <si>
    <t>[12지실02-08]</t>
  </si>
  <si>
    <t>조파 실험 장치를 이용하여 해일이 발생하는 원리를 이해하고, 천해파의 성질을 설명할 수 있다.</t>
  </si>
  <si>
    <t>[12지실02-09]</t>
  </si>
  <si>
    <t>해양의 밀도 구조를 통해 해수면과 수온약층의 경사를 이해하고 해류의 속도를 계산할 수 있다.</t>
  </si>
  <si>
    <t>[12지실02-10]</t>
  </si>
  <si>
    <t>열 염분 순환을 확인할 수 있는 실험을 설계하고 이를 통하여 열 염분 순환의 원리를 설명할 수 있다.</t>
  </si>
  <si>
    <t>수온과 염분 조건을 달리하여 밀도가 서로 다른 수괴가 섞이기 어렵다는 사실을 파악할 수 있도록 한다.</t>
  </si>
  <si>
    <t>[12지실02-11]</t>
  </si>
  <si>
    <t>다양한 지역의 조석 자료를 분석하여 조석의 유형을 이해하고, 평형 조석론과 동역학적 조석론의 개념으로 조석 현상을 설명할 수 있다.</t>
  </si>
  <si>
    <t>[12지실03-01]</t>
  </si>
  <si>
    <t>천구의를 이용하여 구면 좌표의 원리를 이해하고 천체의 위치를 표현할 수 있다.</t>
  </si>
  <si>
    <t>[12지실03-02]</t>
  </si>
  <si>
    <t>천체 관측 프로그램을 이용하여 아날렘마, 행성의 겉보기 운동 등을 시뮬레이션할 수 있다.</t>
  </si>
  <si>
    <t>[12지실03-03]</t>
  </si>
  <si>
    <t>시간계를 정의하는 다양한 방법을 이해하고, 태양의 위치 변화 자료를 이용하여 시태양시, 평균 태양시, 균시차의 개념을 설명할 수 있다.</t>
  </si>
  <si>
    <t>항성시, 태양시, 지방시, 태음시의 정의와 차이점을 설명할 수 있도록 한다.</t>
  </si>
  <si>
    <t>[12지실03-04]</t>
  </si>
  <si>
    <t>인공위성의 고도 변화와 공전 주기 등을 이용하여 케플러 법칙을 이해하고, 행성의 질량을 계산할 수 있다.</t>
  </si>
  <si>
    <t>[12지실03-05]</t>
  </si>
  <si>
    <t>천체 망원경을 조작하여 천체를 관측하고 망원경의 성능을 이해하여 관측 시스템의 분해능, FOV, 행성의 크기 등을 계산할 수 있다.</t>
  </si>
  <si>
    <t>[12지실03-06]</t>
  </si>
  <si>
    <t>달 표면 관측 자료를 이용하여 크레이터의 크기와 높이를 계산할 수 있다.</t>
  </si>
  <si>
    <t>학교 장비를 이용하여 광학계의 FOV를 계산한 후, 직접 촬영한 천체 관측 자료를 분석하는 탐구 활동을 수행한다.</t>
  </si>
  <si>
    <t>[12지실03-07]</t>
  </si>
  <si>
    <t>태양의 흑점 관측 자료를 분석하여 흑점군 분류, 상대 흑점수, 흑점 주기를 구하고, 태양의 위도에 따른 자전주기를 구할 수 있다.</t>
  </si>
  <si>
    <t>[12지실03-08]</t>
  </si>
  <si>
    <t>주계열 맞추기와 세페이드 변광성의 주기-광도 관계 등을 이용하여 우리은하에 속한 천체와 외부은하에 속한 천체까지의 거리를 계산할 수 있다.</t>
  </si>
  <si>
    <t>[12지실03-09]</t>
  </si>
  <si>
    <t>분광기를 이용하여 태양과 별의 스펙트럼을 관측하고, 흑체복사 법칙을 이용하여 별의 스펙트럼과 물리량을 비교할 수 있다.</t>
  </si>
  <si>
    <t>디지털･인공지능 소양 함양과 관련하여 스마트폰 어플리케이션을 이용하여 별의 스펙트럼을 분석할 수 있도록 한다.</t>
  </si>
  <si>
    <t>[12지실03-10]</t>
  </si>
  <si>
    <t>차등측광법의 원리를 이해하고 측광계의 기기등급을 통해 표준등급과 색지수를 구할 수 있다.</t>
  </si>
  <si>
    <t>[12지실03-11]</t>
  </si>
  <si>
    <t>다양한 성단의 측광 자료를 이용하여 성단의 H-R도를 작성하고 성단의 특징을 비교할 수 있다.</t>
  </si>
  <si>
    <t>[12지실03-12]</t>
  </si>
  <si>
    <t>성간 티끌에 의한 성간 소광과 색초과의 관계를 이해하고, 색초과를 고려하여 별의 거리를 계산할 수 있다.</t>
  </si>
  <si>
    <t>[12지실03-13]</t>
  </si>
  <si>
    <t>우리은하에 존재하는 다양한 구상 성단의 공간 분포 자료를 분석하여 우리은하의 중심을 찾을 수 있다.</t>
  </si>
  <si>
    <t>[12지실03-14]</t>
  </si>
  <si>
    <t>다양한 외부은하의 관측 자료를 이용하여 은하 중심으로부터의 거리에 따른 회전 속도 양상을 분석하고 은하의 질량을 구할 수 있다.</t>
  </si>
  <si>
    <t>[12지실03-15]</t>
  </si>
  <si>
    <t>허블-르메트르 법칙을 이용하여 우주의 크기와 나이를 계산하는 과정을 유도하고 최신 연구 결과를 통하여 우주 팽창에 대하여 설명할 수 있다.</t>
  </si>
  <si>
    <t>[9국01-01]</t>
  </si>
  <si>
    <t>화자의 의도와 관점을 추론하며 듣는다.</t>
  </si>
  <si>
    <t>이 성취기준은 담화의 맥락을 고려하여 담화에서 표면적으로 드러나지 않는 숨겨진 요소를 추론하며 들음으로써 담화의 내용을 깊이 이해하는 능력을 기르기 위해 설정하였다. 일상의 대화 상황에서 상대의 발화 의도 추론하기, 정보 전달이나 설득 등 다양한 목적의 담화에서 여러 가지 정보와 상황 맥락을 고려하여 화자의 숨겨진 의도와 관점, 가치관 추론하기 등을 학습한다.</t>
  </si>
  <si>
    <t>[9국01-02]</t>
  </si>
  <si>
    <t>설득 전략을 비판적으로 분석하며 듣는다.</t>
  </si>
  <si>
    <t>[9국01-03]</t>
  </si>
  <si>
    <t>담화 공동체에 따른 듣기⋅말하기 방식의 다양성을 고려하여 듣고 말한다.</t>
  </si>
  <si>
    <t>이 성취기준은 개인이 속해 있는 담화 공동체의 듣기⋅말하기 방식이 가진 다양성을 고려하여 구어 의사소통에 참여함으로써 사회⋅문화적 맥락에 맞는 의사소통 능력을 기르기 위해 설정하였다. 듣기⋅말하기 방식에 영향을 미치는 요인으로 세대, 성, 직업, 지역, 공동체의 관심사나 이해관계, 공동체의 언어문화와 관습 등이 있음을 이해하기, 개인이 속한 집단이나 공동체에 따라 듣기⋅말하기 방식이 다양할 수 있음을 이해하기, 듣기⋅말하기 방식의 다양성에 대한 존중이 긍정적인 관계 형성과 유지에 기여함을 이해하기, 서로 다른 듣기⋅말하기 방식을 이해하고 존중하는 태도 형성하기, 자신의 듣기⋅말하기 방식이 상황 맥락이나 자신이 속한 공동체에 적절한지를 지속적으로 점검하여 개선하기 등을 학습한다.</t>
  </si>
  <si>
    <t>[9국01-04]</t>
  </si>
  <si>
    <t>상대의 말을 경청하고 상대의 감정과 입장에 공감하는 반응을 보이며 대화한다.</t>
  </si>
  <si>
    <t>[9국01-05]</t>
  </si>
  <si>
    <t>면담의 다양한 목적과 상대를 고려하여 질문을 점검하고 효과적으로 면담한다.</t>
  </si>
  <si>
    <t>이 성취기준은 효과적으로 면담을 수행함으로써 목적과 상대를 고려하는 의사소통 능력을 기르기 위해 설정하였다. 말하기나 글쓰기를 위한 자료 수집, 의사 결정, 상담, 선발 등 다양한 면담 목적과 상대를 고려하여 질문 마련하기, 구조화 면담 또는 반구조화 면담 등 면담 유형에 적절한 면담 수행 계획 세우기, 면담 대상자의 입장이나 반응 등에 따라 면담 질문의 내용이나 순서, 진행 방법 등을 조정하여 면담하기, 면담 중에 추가 질문하기, 면담 후 면담 계획이나 목적에 따라 면담이 원만하게 진행되었는지를 점검하기, 질문의 의도와 답변자의 의도를 고려하여 면담 내용을 정리하기 등을 학습한다.</t>
  </si>
  <si>
    <t>[9국01-06]</t>
  </si>
  <si>
    <t>다양한 자료를 재구성하여 내용을 체계적으로 조직하고 청중이 이해하기 쉽게 발표한다.</t>
  </si>
  <si>
    <t>이 성취기준은 말할 내용을 체계적으로 조직하여 청중이 이해하기 쉽게 발표하는 능력을 함양하기 위해 설정하였다. 다양한 자료를 청자가 이해하기 쉬운 방향으로 재구성하기, 발표 내용을 도입부⋅전개부⋅정리부로 나누어 체계적으로 구성하기, 발표 목적이나 대상의 특성에 적절한 설명 방법 활용하기, 청중이 이해하기 쉽게 발표하기, 발표 준비와 실행 과정을 되돌아보고 수행의 적절성 점검하기 등을 학습한다.</t>
  </si>
  <si>
    <t>[9국01-07]</t>
  </si>
  <si>
    <t>토의에서 다양한 의견을 교환하여 대안을 마련하고 문제를 해결한다.</t>
  </si>
  <si>
    <t>[9국01-08]</t>
  </si>
  <si>
    <t>토론에서 반론을 고려하여 타당한 논증을 구성하고 논리적으로 반박한다.</t>
  </si>
  <si>
    <t>이 성취기준은 합리적이고 민주적인 의사 결정을 위한 토론 능력을 기르기 위해 설정하였다. 토론 논제에 대한 찬성과 반대 입장별로 각 입장을 뒷받침하는 이유와 근거 마련하기, 상대방이 제기할 수 있는 반론을 고려하여 논증 구성하기, 주장⋅이유⋅근거⋅반론에 대한 고려 등 논증 구성 요소들이 타당한지 비판적으로 분석하여 반박하기, 논증의 논리적 전개 과정에서 논리적 허점이나 오류가 없는지 분석하여 반박하기 등을 학습한다.</t>
  </si>
  <si>
    <t>[9국01-09]</t>
  </si>
  <si>
    <t>서로의 감정이나 바라는 바를 진솔하게 표현하면서 갈등을 조정한다.</t>
  </si>
  <si>
    <t>이 성취기준은 갈등을 조정할 수 있는 대화 방법을 배움으로써 상대방과의 관계를 원만하게 유지할 수 있는 능력을 기르기 위해 설정하였다. 자신의 생각과 감정을 진솔하게 표현하는 것이 왜 중요한지 이해하기, 자신과 상대의 생각과 감정, 욕구 등을 정확히 파악하기, 어떠한 차이로 인해 갈등이 발생하게 되었는지 분석하기, 사건에 대한 주관적 해석을 배제하고 객관적으로 전달하기, 상황이나 사건에 대한 자신의 감정과 욕구를 진솔하게 표현하기, 자신이 상대에게 바라는 것이 무엇인지 구체적으로 요청하기 방법을 활용하여 갈등 조정하기, 갈등을 악화시킬 수 있는 표현 경계하기, 상대의 의견과 감정을 존중하기 등을 학습한다.</t>
  </si>
  <si>
    <t>[9국01-10]</t>
  </si>
  <si>
    <t>언어폭력의 문제점을 성찰하고, 서로를 존중하는 표현을 사용하여 말한다.</t>
  </si>
  <si>
    <t>[9국01-11]</t>
  </si>
  <si>
    <t>듣기⋅말하기 과정을 점검하고 듣기⋅말하기의 어려움을 효과적으로 조정한다.</t>
  </si>
  <si>
    <t>이 성취기준은 듣기⋅말하기 전⋅중⋅후 과정을 점검하고 구어 의사소통 과정에서 발생하는 다양한 어려움을 효과적으로 조정하는 상위 인지 능력을 기르기 위해 설정하였다. 듣기⋅말하기 활동 후에 자신의 듣기⋅말하기 과정이 적절했는지 성찰하기, 듣기⋅말하기 과정에서 부딪히는 어려움 분석하기, 향후의 듣기⋅말하기를 효과적으로 수행하기 위해 조정해야 할 점을 찾아 개선 계획 세워보기, 말하기 불안을 느끼는 상황에서 이를 완화할 수 있는 방법을 연습하고 적용하기 등을 학습한다.</t>
  </si>
  <si>
    <t>[9국02-01]</t>
  </si>
  <si>
    <t>읽기는 사회⋅문화적 맥락에서 의미를 구성하는 과정임을 이해하며 사회적 독서에 참여하고 사회적 독서 문화 형성에 기여한다.</t>
  </si>
  <si>
    <t>이 성취기준은 읽기가 다양한 사회⋅문화적 맥락에 속한 공동체 구성원들이 상호 작용하며 의미를 구성하는 과정임을 이해하고 사회적 독서 문화 형성에 기여하도록 하기 위해 설정하였다. 독자는 자신이 처한 상황이나 사회⋅문화, 역사적 배경에 따라 의미를 형성해 간다. 또한 공동체 구성원들이 구성한 의미를 협력적으로 소통함에 따라 타인의 삶에 대한 이해나 공동체가 지향해야 할 가치를 발견할 수 있다. 사회⋅문화적으로 가치 있는 주제의 글을 선정하여 읽기, 사회⋅문화적 맥락을 고려하여 필자의 의도 파악하기, 독서 토론을 통해 구성원 간의 다양한 의미 교환하기, 사회⋅문화적 맥락에서 새로운 의미 발견하기, 사회적 독서 문화 형성하기 등을 학습한다.</t>
  </si>
  <si>
    <t>[9국02-02]</t>
  </si>
  <si>
    <t>읽기 목적과 글의 구조를 고려하며 글을 효과적으로 요약한다.</t>
  </si>
  <si>
    <t>[9국02-03]</t>
  </si>
  <si>
    <t>독자의 배경지식과 글에 나타난 정보 등을 활용하여 글에 드러나지 않은 의도나 관점을 추론하며 읽는다.</t>
  </si>
  <si>
    <t>[9국02-04]</t>
  </si>
  <si>
    <t>복합양식으로 구성된 글이나 자료의 내용 타당성과 신뢰성, 표현 방법의 적절성을 평가하며 읽는다.</t>
  </si>
  <si>
    <t>이 성취기준은 복합양식으로 구성된 글이나 자료를 내용과 형식의 측면에서 비판적으로 평가하며 읽을 수 있는 능력을 기르기 위해 설정하였다. 다양한 매체 환경에서는 문자 언어로만 이루어진 단일양식뿐만 아니라 문자, 소리, 그림, 사진, 동영상 등 다양한 기호가 함께 어우러진 복합양식의 글이나 자료를 비판적으로 읽을 수 있어야 한다. 단일양식과 복합양식의 글이나 자료 비교하기, 복합양식의 글이나 자료가 작성된 맥락 파악하기, 복합양식으로 구성된 글이나 자료의 내용 타당성과 신뢰성, 표현 방법의 적절성을 평가하며 읽기 등을 학습한다.</t>
  </si>
  <si>
    <t>[9국02-05]</t>
  </si>
  <si>
    <t>글에 사용된 다양한 설명 방법과 논증 방법을 파악하고, 그 타당성을 평가하며 읽는다.</t>
  </si>
  <si>
    <t>[9국02-06]</t>
  </si>
  <si>
    <t>동일한 화제를 다룬 여러 글이나 자료를 주제 통합적으로 읽는다.</t>
  </si>
  <si>
    <t>이 성취기준은 동일한 화제를 다룬 여러 글이나 자료를 비판적으로 읽고 자신의 관점에 따라 의미를 재구성할 수 있는 주제 통합적 읽기 능력을 기르기 위해 설정하였다. 동일한 화제에 대해 서로 다른 관점을 지닌 글을 대조하며 읽거나 비슷한 주제를 담은 다양한 형식을 비교하며 읽으면서, 독자는 편견이나 선입견을 배제하고 합리적으로 판단할 수 있게 된다. 여러 글이나 자료를 비교하며 읽는 과정에서 독자는 화제와 관련된 쟁점에 대한 충분한 이해를 바탕으로 자신의 관점을 세울 수 있다. 관점이나 형식이 다른 다양한 글이나 자료를 비교⋅분석하기, 대상 화제에 대한 자신의 관점 수립하기, 서로 다른 관점과 형식의 글을 자신의 관점을 토대로 통합하기, 자신의 관점에 따라 의미를 구성하고 표현하기 등을 학습한다.</t>
  </si>
  <si>
    <t>[9국02-07]</t>
  </si>
  <si>
    <t>진로나 관심 분야에 대한 다양한 책이나 자료를 스스로 찾아 읽는다.</t>
  </si>
  <si>
    <t>이 성취기준은 자신의 진로나 관심 분야에 대한 책이나 자료 등을 스스로 탐색하고 선정하여 읽는 능력을 기르기 위해 설정하였다. 학습자가 다양한 글이나 자료를 자기 선택적으로 읽으며 주체적으로 자신의 진로나 관심 분야를 탐색할 수 있도록 한다. 학습자가 관심을 가지고 있는 진로나 관심 분야를 파악하기, 도서관이나 인터넷 등에서 자신의 진로 탐색이나 관심 분야에 대한 깊이 있는 이해를 위해 적합한 책이나 자료를 탐색하고 선정하기, 필요한 정보를 선별하며 읽기, 진로나 관심 분야가 유사한 학습자 간에 읽기 결과를 공유하기 등을 학습한다.</t>
  </si>
  <si>
    <t>[9국02-08]</t>
  </si>
  <si>
    <t>자신의 독서 상황과 수준에 맞는 글을 선정하고 읽기 과정을 점검⋅조정하며 읽는다.</t>
  </si>
  <si>
    <t>[9국03-01]</t>
  </si>
  <si>
    <t>대상의 특성에 적합한 설명 방법을 활용하여 글을 쓴다.</t>
  </si>
  <si>
    <t>이 성취기준은 대상의 특성에 적합한 설명 방법을 활용하여 독자가 이해하기 쉬운 글을 쓰는 데에 필요한 능력을 기르기 위해 설정하였다. 대상과 관련한 독자의 배경지식 및 관심 고려하기, 정의, 인과, 분석, 분류 등 다양한 설명 방법을 익히고 전달하고자 하는 정보의 특성을 고려하여 설명 방법 활용하기, 대상의 특성을 효과적으로 전달하기 위한 글의 구조 및 표현 방법 이해하기 등을 학습한다.</t>
  </si>
  <si>
    <t>[9국03-02]</t>
  </si>
  <si>
    <t>복수의 자료를 활용하여 다양한 형식으로 정보를 전달하는 글을 쓴다.</t>
  </si>
  <si>
    <t>이 성취기준은 둘 이상의 자료를 활용하여 다양한 형식으로 보고서나 설명문을 쓰는 데에 필요한 능력을 기르기 위해 설정하였다. 객관적인 정보의 공유와 소통을 위해 다양한 정보를 담고 있는 복수의 자료 활용하기, 정보를 전달하는 글의 내용을 생성하는 과정에서 책, 신문, 인터넷 등 다양한 매체에서 정보 수집하기, 수집한 정보의 중요도 분석하기, 수집한 정보 통합하기, 쓰기 윤리를 지키며 자료 활용하기, 문자 언어와 함께 도표, 그림, 사진 등을 활용하여 정보를 전달하기 등을 학습한다.</t>
  </si>
  <si>
    <t>[9국03-03]</t>
  </si>
  <si>
    <t>주장을 뒷받침할 수 있는 타당한 근거를 들고 적절한 표현을 사용하여 주장하는 글을 쓴다.</t>
  </si>
  <si>
    <t>[9국03-04]</t>
  </si>
  <si>
    <t>의견 차이가 있는 사안에 대해 자료를 수집하고 사회⋅문화적 맥락을 고려하며 주장하는 글을 쓴다.</t>
  </si>
  <si>
    <t>이 성취기준은 의견 차이가 있는 사안이 발생한 상황을 이해하고 쟁점을 분석하여 자신의 주장을 제시하는 글을 쓰는 데에 필요한 능력을 기르기 위해 설정하였다. 의견 차이가 있는 사안 찾기, 쟁점을 분석하고 쟁점에 대한 다양한 의견과 자료를 수집하기, 쟁점에 대한 자신의 관점을 수립하여 주장을 논리적으로 전개하기, 자신의 주장이 사회⋅문화적 맥락 내에서 수용될 수 있도록 제시하기 등을 학습한다.</t>
  </si>
  <si>
    <t>[9국03-05]</t>
  </si>
  <si>
    <t>자신의 삶과 경험을 바탕으로 정서를 진솔하게 표현하는 글을 쓴다.</t>
  </si>
  <si>
    <t>[9국03-06]</t>
  </si>
  <si>
    <t>다양한 표현을 활용하여 자신의 생각과 느낌이 드러나는 글을 쓰고 독자와 공유한다.</t>
  </si>
  <si>
    <t>[9국03-07]</t>
  </si>
  <si>
    <t>복합양식 자료를 활용하여 내용을 생성하고 글의 유형을 고려하여 내용을 조직하며 글을 쓴다.</t>
  </si>
  <si>
    <t>이 성취기준은 글을 쓸 때 복합양식 자료를 활용하여 내용을 생성하고 글의 유형을 고려하여 내용을 조직하는 능력을 기르기 위해 설정하였다. 문자, 소리, 그림, 사진, 동영상 등이 결합된 복합양식 자료의 특징 및 유형 이해하기, 복합양식 자료를 활용하여 내용 생성하기, 글의 유형을 고려하여 내용 조직하기 등을 학습한다.</t>
  </si>
  <si>
    <t>[9국03-08]</t>
  </si>
  <si>
    <t>쓰기 과정과 전략을 점검⋅조정하며 글을 쓰고, 독자를 고려하여 글을 고쳐 쓴다.</t>
  </si>
  <si>
    <t>이 성취기준은 쓰기 과정과 전략을 점검⋅조정하며 글을 쓰고 독자를 고려하여 글을 고쳐 쓰는 데에 필요한 능력을 기르기 위해 설정하였다. 독자를 고려하여 글을 고쳐 쓰는 것은 글의 내용 차원, 조직 차원, 표현 차원에서 두루 이루어질 필요가 있다. 쓰기 과정과 전략을 점검⋅조정하기, 독자의 지식, 기대나 요구, 태도를 분석하기, 독자 분석의 결과를 반영하여 글을 고쳐쓰기 등을 학습한다.</t>
  </si>
  <si>
    <t>[9국03-09]</t>
  </si>
  <si>
    <t>언어 공동체의 구성원인 필자로서 자신에 대해 성찰하며, 윤리적 소통 문화를 형성하는 데에 기여한다.</t>
  </si>
  <si>
    <t>이 성취기준은 필자가 자신과 자신의 쓰기 과정 및 결과를 성찰하여 언어 공동체의 구성원으로 성장하는 데에 필요한 능력과 태도를 기르기 위해 설정하였다. 필자로서 자기 자신이 어떤 사람인지 필자 정체성 성찰하기, 언어 공동체의 개념 이해하기, 윤리적 소통 문화의 특성과 필요성 이해하기, 책임감 있게 글을 쓰는 태도 기르기 등을 학습한다.</t>
  </si>
  <si>
    <t>[9국04-01]</t>
  </si>
  <si>
    <t>국어의 음운 체계와 문자 체계를 이해하고 국어생활에 활용한다.</t>
  </si>
  <si>
    <t>이 성취기준은 국어의 음운 체계와 문자 체계를 종합적으로 탐구함으로써, 말소리와 문자의 관련성을 체계적으로 이해하도록 하기 위해 설정하였다. 말소리와 음운의 관계, 음운 체계에 대한 이해를 바탕으로 발음 및 표기를 정확하게 할 수 있도록 한다. 이와 관련지어 훈민정음 창제 정신과 원리를 중심으로 국어의 문자 체계를 탐구하고, 디지털⋅정보화 시대에 한글이 지니는 가치 및 발전 방향을 다각도로 탐색하도록 한다.</t>
  </si>
  <si>
    <t>[9국04-02]</t>
  </si>
  <si>
    <t>단어의 짜임을 분석하여 새말 형성의 원리를 이해한다.</t>
  </si>
  <si>
    <t>[9국04-03]</t>
  </si>
  <si>
    <t>품사의 종류와 특성을 이해하고 국어 자료를 분석한다.</t>
  </si>
  <si>
    <t>이 성취기준은 품사의 종류와 특성을 이해하고 이를 바탕으로 다양한 국어 자료를 분석할 수 있는 능력을 기르기 위해 설정하였다. 품사 분류를 통해 우리말에 대한 이해의 폭을 넓힘은 물론 품사의 특성을 고려해 정확하고 적절하게 단어를 사용할 수 있도록 한다. 또한, 문장을 단어별로 나누어 문장 안에서의 쓰임을 분석하거나, 글이나 담화에 쓰인 단어의 정확성⋅적절성을 평가하거나, 단어 부류의 빈도나 분포에 따라 글이나 담화의 특성을 간략히 기술하는 등, 품사 지식을 활용해 국어 자료의 특성을 간단히 분석해 봄으로써 품사가 국어 탐구를 위한 기초적이고 유용한 도구임을 이해하도록 한다.</t>
  </si>
  <si>
    <t>[9국04-04]</t>
  </si>
  <si>
    <t>문장의 짜임을 이해하고 표현 효과를 고려하여 문장을 구성한다.</t>
  </si>
  <si>
    <t>[9국04-05]</t>
  </si>
  <si>
    <t>피동 표현과 인용 표현의 의도와 효과를 분석하고 상황에 맞게 활용한다.</t>
  </si>
  <si>
    <t>이 성취기준은 피동 표현과 인용 표현을 활용해 의도를 정확하고 적절하게 표현하고, 그 효과를 분석하는 능력을 기르기 위해 설정하였다. 피동 표현과 인용 표현의 형식적 특성과 기능, 표현 효과를 학습하는 데 중점을 둔다. 피동 표현과 인용 표현의 사용을 표현 의도와 관련지어 이해하고, 그 효과를 분석하여 실제 국어생활에서 상황 맥락에 맞게 적절하게 활용할 수 있도록 한다.</t>
  </si>
  <si>
    <t>[9국04-06]</t>
  </si>
  <si>
    <t>한글 맞춤법의 기본 원리와 내용을 이해하고 국어생활에 적용한다.</t>
  </si>
  <si>
    <t>이 성취기준은 한글 맞춤법의 기본 원리를 이해하여 정확하고 교양 있는 국어생활을 영위하도록 하기 위해 설정하였다. ‘공통국어2’의 한글 맞춤법 관련 성취기준에서 내용이 심화⋅연계됨을 고려하여, ‘소리대로 적되 어법에 맞도록 함을 원칙으로 한다.’라는 한글 맞춤법 총칙을 중심으로 한글 맞춤법의 기본 원리를 탐구하는 데 중점을 두고, 음운 변동에 대한 지식을 필요로 하는 한글 맞춤법 조항 등은 다루지 않는다.</t>
  </si>
  <si>
    <t>[9국04-07]</t>
  </si>
  <si>
    <t>세대⋅분야⋅매체에 따른 어휘의 양상과 쓰임을 분석하고 다양한 집단과 사회의 언어에 관용적 태도를 지닌다.</t>
  </si>
  <si>
    <t>이 성취기준은 세대⋅분야⋅매체에 따라 어휘가 변이되고 팽창하는 양상을 다양한 국어 자료를 바탕으로 탐구하고, 이를 바탕으로 다양한 집단과 사회의 언어에 대해 관용적 태도를 지니도록 하기 위해 설정하였다. 어휘는 언어 사용의 구체적인 맥락과 세대, 분야, 매체 등의 요인에 따라 다양한 양상으로 나타난다. 청소년어, 노인어, 전문어, 인터넷 언어, 새말 등을 대상으로 어휘의 특성과 쓰임, 변이와 생성 과정에 대한 탐구를 통해, 이들 어휘를 중심으로 한 언어 실천이 상황 맥락 및 사회･문화적 맥락을 고려한 사회적 행위임을 이해하고 다양한 집단과 사회의 언어에 대해 관용적 태도를 견지할 수 있도록 한다.</t>
  </si>
  <si>
    <t>[9국04-08]</t>
  </si>
  <si>
    <t>자신과 주변의 다양한 국어 실천 양상을 비판적으로 분석하여 언어와 자아 및 세계 사이의 관계를 인식한다.</t>
  </si>
  <si>
    <t>이 성취기준은 다양한 국어 자료에 대한 분석과 성찰을 통해 언어의 본질과 힘을 인식하고, 언어 주체로서 능동적인 국어생활을 영위하도록 하기 위해 설정하였다. 욕설이나 부정적 표현 및 말투 등이 개인의 정체성 형성에 미치는 영향을 분석하고, 의도를 제대로 전달하지 못하는 표현, 편견 및 고정 관념을 유발하거나 사실을 왜곡하는 표현, 갈등을 조장하거나 강화하는 표현, 규범과 관습에 적절하지 않은 표현 등이 개인 간 관계 형성 및 언어 공동체에 미치는 영향을 성찰하고 비판하여, 언어가 자아 및 세계를 구성하는 핵심 자원임을 이해하도록 한다.</t>
  </si>
  <si>
    <t>[9국05-01]</t>
  </si>
  <si>
    <t>운율, 비유, 상징의 특성과 효과에 유의하며 작품을 감상하고 창작한다.</t>
  </si>
  <si>
    <t>[9국05-02]</t>
  </si>
  <si>
    <t>갈등의 진행과 해결 과정을 파악하며 작품을 감상한다.</t>
  </si>
  <si>
    <t>[9국05-03]</t>
  </si>
  <si>
    <t>인간의 성장을 다룬 작품을 읽으며 문학의 가치를 내면화한다.</t>
  </si>
  <si>
    <t>[9국05-04]</t>
  </si>
  <si>
    <t>보는 이나 말하는 이의 특성과 효과를 파악하며 작품을 감상한다.</t>
  </si>
  <si>
    <t>이 성취기준은 시의 화자 또는 소설의 시점 및 서술자에 주목하여 작품을 깊이 있게 감상하는 능력을 기르게 하기 위해 설정하였다. 문학 작품에서 누가 보는가, 누가 말하는가에 따라 전달하는 내용이나 작품의 분위기가 크게 달라진다. 보는 이나 말하는 이가 누구인지, 어떤 특성을 가지고 있는지를 파악하고, 보는 이나 말하는 이의 특성이 작품 전체의 주제나 분위기에 어떤 효과를 미치는가에 주목하며 작품을 감상하도록 한다.</t>
  </si>
  <si>
    <t>[9국05-05]</t>
  </si>
  <si>
    <t>작품에 반영된 사회⋅문화적 상황을 이해하며 작품을 감상한다.</t>
  </si>
  <si>
    <t>[9국05-06]</t>
  </si>
  <si>
    <t>자신의 경험을 개성적인 발상과 표현으로 형상화한다.</t>
  </si>
  <si>
    <t>이 성취기준은 학습자가 문학을 수용하는 데에 그치지 않고 자신의 삶의 경험을 창의적으로 표현하며 문학 문화를 향유할 수 있도록 하기 위해 설정하였다. 학습자로 하여금 여러 작품들의 개성적 발상과 표현을 참고하면서 반어, 역설, 풍자 등 다양한 문학적 표현 방식을 활용하여 자신의 경험을 개성적으로 형상화하도록 한다. 이 과정에서 학습자가 자신의 경험을 성찰하고 새롭게 의미를 부여하며 가치를 찾도록 하는 한편, 실제 작품 생산의 경험을 통해 개성적인 발상 및 표현에 대한 이해를 심화할 수 있도록 한다.</t>
  </si>
  <si>
    <t>[9국05-07]</t>
  </si>
  <si>
    <t>연관성이 있는 다른 작품들과의 관계를 파악하며 작품을 감상한다.</t>
  </si>
  <si>
    <t>이 성취기준은 작품들 간의 관계에 주목하며 작품을 감상할 수 있게 하기 위해 설정하였다. 다른 문학 작품들과의 관계 속에서 작품을 다각도로 살핀다면 독자는 작품에 대해 더 다양하고 깊이 있는 감상이 가능해진다. 통시적⋅공시적으로 유사한 주제나 형식을 가진 작품들, 서로 영향을 주고받은 작품들을 찾아보고, 작품 간의 공통점 및 차이점, 상호 간의 연관 관계를 파악하며 작품을 감상하도록 한다. 또한 학습자가 스스로 여러 작품 간의 관계를 찾아 새로운 의미 연관성의 맥락을 만들어 볼 수 있도록 한다.</t>
  </si>
  <si>
    <t>[9국05-08]</t>
  </si>
  <si>
    <t>근거를 바탕으로 작품을 해석하고, 다른 해석들과 비교하여 자신의 해석을 평가한다.</t>
  </si>
  <si>
    <t>이 성취기준은 주체적인 관점에서 작품을 해석하며 평가할 수 있는 능력을 기르게 하기 위해 설정하였다. 작품을 해석할 때는 작품 속의 내용적⋅형식적 근거나 작품 밖의 맥락적 근거 등을 토대로 하여 작품을 해석하는 것이 필요하다. 작품 해석은 독자의 지식, 경험, 가치관 등을 바탕으로 이루어지는 과정이기 때문에 독자에 따라 얼마든지 달라질 수 있다. 다만 이때 작품을 잘못 이해하는 오독을 범하지 않으려면 작품 안과 밖의 여러 근거를 바탕으로 작품을 해석해야 한다. 적절한 근거를 들어 작품을 해석하고, 이를 다른 사람들의 해석과 비교하면서 자기 해석의 적절성을 검토하도록 한다.</t>
  </si>
  <si>
    <t>[9국05-09]</t>
  </si>
  <si>
    <t>문학을 통해 타자를 이해하고 공동체의 문제에 참여하는 태도를 지닌다.</t>
  </si>
  <si>
    <t>이 성취기준은 내가 아닌 다른 사람들, 그리고 다른 존재들을 이해하고, 그들에 공감하는 능력을 기르며, 그들과 어떻게 함께 살아갈 것인가를 공동체의 관점에서 고려하고, 공동체의 현안에 참여하는 태도를 가지게 하기 위해 설정하였다. 타자를 이해하는 능력은 평화로운 공존과 협력적 연대를 위한 핵심적 요인이다. 작품 속 인물들의 생각과 마음을 이해하고 다양한 삶을 간접적으로 체험하도록 함으로써 타자에 대한 이해와 공감의 폭을 넓힐 수 있도록 한다. 또한 가정, 학교, 이웃 사회, 생태환경 등 다양한 공동체의 문제와 그 해결 과정을 담은 작품을 읽고, 학습자가 속한 공동체의 문제에 대한 인식 능력과 실천적 참여 능력을 함양하도록 한다.</t>
  </si>
  <si>
    <t>[9국06-01]</t>
  </si>
  <si>
    <t>대중매체와 개인 인터넷 방송의 특성과 영향력을 비교한다.</t>
  </si>
  <si>
    <t>[9국06-02]</t>
  </si>
  <si>
    <t>소통 맥락과 수용자 참여 양상을 고려하여 상호 작용적 매체를 분석한다.</t>
  </si>
  <si>
    <t>이 성취기준은 상호 작용적 매체의 특성을 이해하고 상황 맥락과 사회⋅문화적 맥락에 맞게 소통하는 능력을 기르기 위해 설정하였다. 예를 들어 사회 관계망 서비스(SNS)는 생각, 의견, 관점 등을 비교적 자유롭게 공유할 수 있는 개방적인 공간이며, 학교나 학급의 누리집은 공적인 정보를 공유하는 데 초점을 둔 공간이다. 이처럼 소통 목적, 소통 공간의 특성에 따라 참여자들이 소통하는 방식이 어떻게 달라지는지 다양한 각도에서 분석해 보고 자신의 소통 방식의 적절성에 대해서도 점검해 보도록 한다.</t>
  </si>
  <si>
    <t>[9국06-03]</t>
  </si>
  <si>
    <t>복합양식성을 고려하여 영상 매체 자료를 제작하고 공유한다.</t>
  </si>
  <si>
    <t>[9국06-04]</t>
  </si>
  <si>
    <t>매체 소통에서의 권리와 책임을 이해하고, 수용자의 반응을 고려하며 매체 자료의 제작 과정을 성찰한다.</t>
  </si>
  <si>
    <t>[9국06-05]</t>
  </si>
  <si>
    <t>매체 자료의 재현 방식을 이해하고 광고나 홍보물을 분석한다.</t>
  </si>
  <si>
    <t>이 성취기준은 매체 텍스트가 현실을 재현하는 방식을 이해하는 능력을 기르기 위해 설정하였다. 매체 자료는 제작자의 의도와 관점이 반영된 재현물이라는 것에 대한 이해를 바탕으로 다양한 광고나 홍보물을 살펴보며 사건, 쟁점, 인물 등을 표현하기 위해 어떤 문구나 이미지가 선택되거나 배제되었는지를 탐구하고, 사회상이나 특정 집단에 대해 어떤 고정 관념이 반영되어 있는지 분석하도록 한다.</t>
  </si>
  <si>
    <t>[9국06-06]</t>
  </si>
  <si>
    <t>사회⋅문화적 맥락을 고려하여 매체 자료의 공정성을 평가한다.</t>
  </si>
  <si>
    <t>이 성취기준은 매체 자료를 공정성의 측면에서 비판적으로 이해하는 능력을 기르기 위해 설정하였다. 타당하고 신뢰성 있는 정보라 하더라도 그것이 의도에 따라 과도하게 반복, 과장, 축소되어 전달되는 경우에는 공정한 매체 자료라고 보기 어렵다. 특정 사건이나 쟁점을 다루는 매체 자료를 비교하고, 그 매체 자료가 제작된 사회⋅문화적 맥락이 어떠한지 파악한다. 그리고 매체 자료가 특정 제품이나 업체를 홍보하고 있지는 않은지, 다양한 주장을 전달하지 않고 특정 입장을 지닌 주장을 전달하면서 한쪽으로 치우쳐 있지는 않은지, 피상적인 사실 전달에 그쳐 특정한 쟁점이나 사건에 대한 진실을 간과하거나 호도하고 있지는 않은지 등을 점검한다.</t>
  </si>
  <si>
    <t>[10공국1-01-01]</t>
  </si>
  <si>
    <t>대화의 원리를 고려하여 대화하고 자신의 듣기⋅말하기 과정과 공동체의 담화 관습을 성찰한다.</t>
  </si>
  <si>
    <t>이 성취기준은 대화의 원리를 기반으로 언행적 목적과 관계적 목적을 두루 달성할 수 있는 대화 능력을 기르고, 공동체 담화 관습을 비판적으로 성찰하고 개선하기 위한 계기를 마련하기 위해 설정하였다. 협력의 원리, 공손성의 원리, 체면 유지의 원리 등 대표적인 대화의 원리를 바탕으로 대화하기, 자신의 듣기⋅말하기 과정과 전략 점검하기, 담화 공동체의 과거와 현재의 담화 관습 조사하기, 담화 관습에 대해 비판적으로 인식하기, 오늘날의 시대 상황을 고려하여 담화 관습을 보다 바람직한 방향으로 개선하기 위한 방안 모색하기 등을 학습한다.</t>
  </si>
  <si>
    <t>[10공국1-01-02]</t>
  </si>
  <si>
    <t>논제의 필수 쟁점별로 논증을 구성하고 논증이 타당한지 평가하며 토론한다.</t>
  </si>
  <si>
    <t>[10공국1-02-01]</t>
  </si>
  <si>
    <t>다양한 글이나 자료를 읽으며 논증의 타당성을 평가하고 자신의 관점을 바탕으로 논증을 재구성한다.</t>
  </si>
  <si>
    <t>이 성취기준은 글이나 자료에 사용된 논증 방법을 파악하고 논증의 타당성을 평가한 후, 자신의 관점에 기반하여 논증을 비판적으로 재구성하며 읽는 능력을 기르기 위해 설정하였다. 논증이란 주장이 정당함을 입증하기 위해 이유와 근거를 제시하는 방식을 의미하기도 하고 주장과 이를 뒷받침하는 이유와 근거 간의 관계를 의미하기도 한다. 글에 나타난 논증의 요소와 방법 파악하기, 필자의 주장과 이를 뒷받침하는 이유와 근거, 반론에 대한 반박 등 논증 요소의 타당성 평가하기, 논증 방법의 설득 효과 평가하기, 평가의 결과를 토대로 자신의 관점을 세워 필자의 논증을 재구성하기 등을 학습한다.</t>
  </si>
  <si>
    <t>[10공국1-02-02]</t>
  </si>
  <si>
    <t>자신의 진로나 관심 분야와 관련한 다양한 글이나 자료를 찾아 주제 통합적으로 읽고 읽은 결과를 공유한다.</t>
  </si>
  <si>
    <t>이 성취기준은 자신의 진로나 관심 분야에 대한 다양한 글이나 자료를 자기 선택적으로 읽으며 읽기 목적에 알맞게 정보를 통합하고 재구성하며 읽는 능력을 기르기 위해 설정하였다. 진로와 직업에 관련된 도서 목록이나 도서 정보를 탐색한 후 자신의 진로나 관심 분야를 고려하여 다양한 글이나 책, 매체 자료를 찾아 읽기, 진로나 관심 분야가 유사한 학습자 간에 모둠을 구성하고 도서나 자료 목록 작성하기, 관심 분야에 관한 도서나 자료를 읽으며 자신의 진로 의사 결정 및 진로 개발에 필요한 유의미한 정보를 선별하기, 유의미한 정보들을 통합하여 진로 분야에 대한 정보를 모둠원 간에 공유하기, 읽기 목적을 고려하여 포트폴리오 제작하기, 독서 토론이나 발표 등을 통해 읽은 결과 공유하기 등을 학습한다.</t>
  </si>
  <si>
    <t>[10공국1-03-01]</t>
  </si>
  <si>
    <t>내용 전개의 일반적 원리를 고려하여 사회적 쟁점에 대한 자신의 견해를 정교하게 표현하는 글을 쓴다.</t>
  </si>
  <si>
    <t>[10공국1-03-02]</t>
  </si>
  <si>
    <t>다양한 언어 공동체의 특성을 고려하며 필자의 개성이 드러나는 글을 쓴다.</t>
  </si>
  <si>
    <t>이 성취기준은 언어 공동체 구성원으로서 필자의 개성이 드러나는 글을 쓰는 경험을 통해 의사소통 문화의 발전을 도모하는 태도를 기르기 위해 설정하였다. 지역, 세대, 성, 문화에 따라 언어 공동체는 다양하게 구성될 수 있으며 이들이 언어 사용을 통해 삶을 공유한다는 점에서 언어 사용자에게는 바람직한 언어문화를 가꾸어야 할 책무가 있음을 이해하고 실천해야 한다. 또한 언어 공동체의 특성이 고정된 것이 아니라 구성원의 참여를 통해 새로운 의사소통 문화를 만들어 갈 수 있으므로 필자의 개성이 드러나는 글이 언어 공동체의 확장 및 발전에 기여할 수 있음을 이해해야 한다. 언어 공동체의 특성 및 다양성에 대해 인식하기, 글을 쓰는 경험을 통해 자아의 성장과 언어 공동체의 발전에 기여하기, 일상의 경험에 가치를 부여하는 글 쓰기, 필자의 고유한 목소리가 드러나는 개성 있는 글 쓰기 등을 학습한다.</t>
  </si>
  <si>
    <t>[10공국1-04-01]</t>
  </si>
  <si>
    <t>언어 공동체가 다변화함에 따라 다양해진 언어 실천 양상을 분석하고 언어 주체로서 책임감을 가지며 국어생활을 한다.</t>
  </si>
  <si>
    <t>이 성취기준은 점차 복잡해지는 언어 공동체의 다양한 언어 실천 양상을 이해하고 책임감 있는 국어생활을 할 수 있는 능력을 기르기 위해 설정하였다. 사회가 다원화됨에 따라 새롭게 등장하는 언어 실천의 양상을 다루되, 특히 다문화 사회에 진입함에 따른 언어 공동체의 다변화 문제, 남북한 언어 실천의 이질화 문제와 통일 시대를 대비한 동질성 회복 방안 등을 중점적으로 다루어, 의사소통 상황에서 발생할 수 있는 갈등과 차별을 예상하고 이에 대응하며, 언어 주체로서 책임감을 가지고 언어 실천에 참여하는 태도를 기르도록 한다.</t>
  </si>
  <si>
    <t>[10공국1-04-02]</t>
  </si>
  <si>
    <t>음운 변동을 탐구하여 발음과 표기에 올바르게 적용한다.</t>
  </si>
  <si>
    <t>[10공국1-04-03]</t>
  </si>
  <si>
    <t>다양한 분야의 글과 담화에 나타난 문법 요소 및 어휘의 표현 효과를 평가하고 적절한 표현을 생성한다.</t>
  </si>
  <si>
    <t>이 성취기준은 다양한 분야의 글과 담화에서 문법 요소와 어휘를 통해 실현되는 언어 주체의 태도와 인식을 파악하고 표현 효과를 평가하여, 문법 요소와 어휘를 적절히 사용할 수 있는 능력을 기르기 위해 설정하였다. 참여자 간의 관계나 장면의 격식성 등 상황 맥락에 따라 달리 쓰인 높임 표현의 효과, 시간의 경과가 드러나거나 시간에 대한 인식이 중요한 기능을 하는 글이나 담화에 쓰인 시간 표현의 효과, 신문 기사, 뉴스 보도, 학술문, 토론, 강연 등 특정 글이나 담화 종류에서 두드러지게 쓰이는 피동 표현과 인용 표현의 효과 등을 언어 주체의 태도 및 인식과 관련하여 종합적으로 탐구하고, 글이나 담화 맥락에 적절한 표현을 생성하도록 한다. 또한, 화제에 대한 필자의 태도나 입장이 드러나는 어휘, 학술적인 글이나 담화에 사용되어 논리 및 사고 전개 과정을 드러내는 사고 도구어와 전문어 등을 대상으로 하여, 글이나 담화의 맥락이나 종류, 분야에 따른 어휘 선택과 효과를 다루고 이러한 어휘를 활용하여 글이나 담화에 적절한 표현을 생성하도록 한다.</t>
  </si>
  <si>
    <t>[10공국1-05-01]</t>
  </si>
  <si>
    <t>문학 소통의 특성을 고려하며 문학 소통에 참여한다.</t>
  </si>
  <si>
    <t>이 성취기준은 문학 소통의 특성을 이해하고 그 효과를 생각하며 능동적으로 문학을 향유하는 능력을 기르게 하기 위해 설정하였다. 문학은 일상적 언어 활동과는 달리 한 작품을 둘러싸고 작가 맥락, 독자 맥락, 사회⋅문화적 맥락, 문학사적 맥락 등이 다층적으로 작용하는 특성이 있다. 또한 실용적 목적보다는 허구와 상상을 통해 아름다움이나 재미를 추구하는 경향이 강하며, 작가와 독자의 소통에 작품의 아름다움과 가치를 평가하는 비평의 담론이 더하여져서 더욱 풍부한 소통의 장이 펼쳐진다. 학습자로 하여금 이러한 문학 소통의 특성을 이해하고, 능동적인 감상자의 역할은 물론 전문적이지는 않더라도 작품을 쓰거나 비평하는 활동을 시도하면서 문학 소통에 주체적으로 참여하도록 한다.</t>
  </si>
  <si>
    <t>[10공국1-05-02]</t>
  </si>
  <si>
    <t>갈래에 따른 형상화 방법의 특성을 고려하며 작품을 수용한다.</t>
  </si>
  <si>
    <t>[10공국1-05-03]</t>
  </si>
  <si>
    <t>작품 구성 요소의 유기적 관계와 맥락에 유의하여 작품을 수용하고 생산한다.</t>
  </si>
  <si>
    <t>이 성취기준은 문학 작품 내적으로는 구성 요소들이 유기적 관계를 형성하고 있고, 외적으로는 다양한 맥락들과 연관되어 있음을 이해하며 작품을 수용하고 생산하는 능력을 기르게 하기 위해 설정하였다. 문학을 수용하고 생산할 때는 문학 작품의 각 구성 요소들이 유기적 관계를 맺음으로써 개별 요소의 합을 넘어서는 고유한 가치와 개성을 가지게 된다는 점에 유의할 필요가 있다. 또 문학 작품은 시간이 흐름에 따라 새로운 독자와 새로운 시대를 만나게 되고 다른 작품들과의 관계도 새롭게 형성되기 때문에 이전과는 다른 각도에서 조명되며 새로운 의미와 가치를 가지게 된다는 점도 중요하게 인식할 필요가 있다. 이러한 점들에 유의하면서 작품 구성 요소들의 관계, 그리고 작품을 둘러싼 맥락을 다각도로 살피며 작품을 수용하고 생산할 수 있게 한다.</t>
  </si>
  <si>
    <t>[10공국1-06-01]</t>
  </si>
  <si>
    <t>사회적 의제를 다룬 매체 자료를 비판적으로 분석한다.</t>
  </si>
  <si>
    <t>이 성취기준은 사회적 의제를 다룬 매체 자료를 주체적으로 분석하고 수용할 수 있는 역량을 기르기 위해 설정하였다. 현대 사회의 사회적 의제를 다룬 영화, 뉴스, 개인 방송 등 다양한 유형의 매체 자료를 사회⋅문화적 맥락을 고려하여 비판적으로 분석하여 매체 자료가 전달하는 주제를 주체적으로 수용할 수 있도록 한다.</t>
  </si>
  <si>
    <t>[10공국1-06-02]</t>
  </si>
  <si>
    <t>소통 맥락과 매체 특성을 고려하여 다양한 목적의 매체 자료를 제작한다.</t>
  </si>
  <si>
    <t>이 성취기준은 매체 소통의 맥락과 특성을 이해하고, 적절한 매체를 선정하여 매체 자료를 제작하는 역량을 기르기 위해 설정하였다. 매체 소통의 영향력을 이해하고 소통 목적에 맞는 매체를 선정하여 지역 문화 소개하기, 캠페인 참여하기 등 사회⋅문화적 특성을 반영한 다양한 매체 자료를 책임감 있게 제작함으로써 사회적 소통에 능동적으로 참여한다.</t>
  </si>
  <si>
    <t>[10공국2-01-01]</t>
  </si>
  <si>
    <t>청중의 관심과 요구에 맞게 내용을 구성하여 발표하고 청중의 질문에 효과적으로 답변한다.</t>
  </si>
  <si>
    <t>이 성취기준은 청중과 상호 작용하는 발표 능력을 기르기 위해 설정하였다. 예상 청중의 관심사, 배경지식, 주제에 대한 태도, 지적 수준 등을 분석하기, 청중 분석 결과를 바탕으로 청중에게 적합한 내용을 선정하기, 발표 내용을 청중이 이해하기 쉽도록 요점을 중심으로 체계적으로 조직하기, 청중의 관심을 유지하기 위한 다양한 전략을 활용하여 발표하기, 청중과 질의응답할 수 있는 시간을 확보하기 위해 발표 시간 조절하기, 청중의 질문에 효과적으로 답변하며 청중과 소통하기 등을 학습한다.</t>
  </si>
  <si>
    <t>[10공국2-01-02]</t>
  </si>
  <si>
    <t>쟁점과 이해관계를 고려하여 문제를 해결할 수 있는 대안을 탐색하며 협상한다.</t>
  </si>
  <si>
    <t>이 성취기준은 협상에 대한 이해와 실행을 통해 개인 또는 집단의 갈등을 조정하여 문제를 해결하는 능력을 기르기 위해 설정하였다. 협상의 중요성과 협상이 필요한 상황 이해하기, 협상의 진행 절차 이해하기, 일련의 절차에 따라 협상 의제로 부각된 쟁점을 중심으로 의견 조정하기, 표면적으로 드러난 입장의 이면에 숨겨진 근원적인 동기를 고려하여 대안 마련하기, 상대의 의견을 존중하며 표현하기 등을 학습한다.</t>
  </si>
  <si>
    <t>[10공국2-01-03]</t>
  </si>
  <si>
    <t>사회적 소통 과정에서 말의 영향력을 고려하여 책임감 있게 듣고 말한다.</t>
  </si>
  <si>
    <t>[10공국2-02-01]</t>
  </si>
  <si>
    <t>복합양식으로 구성된 글이나 자료에 내재된 필자의 관점이나 의도, 표현 방법을 평가하며 읽는다.</t>
  </si>
  <si>
    <t>[10공국2-02-02]</t>
  </si>
  <si>
    <t>동일한 화제의 글이나 자료라도 서로 다른 관점과 형식으로 표현됨을 이해하며 읽기 목적을 고려하여 글이나 자료를 주제 통합적으로 읽는다.</t>
  </si>
  <si>
    <t>이 성취기준은 동일한 화제에 대하여 다양한 관점과 형식으로 작성된 글이나 자료를 읽으며 읽기 목적에 따라 글이나 자료를 비판적으로 재구성할 수 있는 주제 통합적 읽기 능력을 기르기 위해 설정하였다. 읽기 상황이나 과제와 관련하여 읽기 목적을 구체화하기, 글이나 자료를 비교 분석하기, 읽기 목적을 고려하여 유의미한 정보 선별하기, 정보 간의 상충되거나 모순되는 점을 확인하고 평가하기, 읽기 목적을 고려하며 화제에 대한 자신의 견해를 재구성하기 등을 학습한다.</t>
  </si>
  <si>
    <t>[10공국2-02-03]</t>
  </si>
  <si>
    <t>의미 있는 사회적 독서 활동에 참여함으로써 타인과 교류하고 다양한 지식이나 정보, 삶에 대한 가치관 등을 이해하는 태도를 지닌다.</t>
  </si>
  <si>
    <t>[10공국2-03-01]</t>
  </si>
  <si>
    <t>언어 공동체가 공유하는 작문 관습의 특성을 이해하고 쓰기 과정과 전략을 점검하며 책임감 있게 글을 쓴다.</t>
  </si>
  <si>
    <t>[10공국2-03-02]</t>
  </si>
  <si>
    <t>논증 요소에 따른 분석을 바탕으로 효과적으로 내용을 조직하여 논증하는 글을 쓴다.</t>
  </si>
  <si>
    <t>이 성취기준은 논증 요소를 중심으로 글을 쓸 수 있는 능력을 기르기 위해 설정하였다. 논증의 요소는 주장과 그 주장을 지지하는 객관적 자료인 근거, 근거를 바탕으로 주장을 가능하게 하는 주관적 요인인 이유, 예상되는 반론과 이에 대한 반박 등을 포함한다. 논증 요소와 이들 요소 간의 관계, 연역과 귀납 등의 논증 방법을 활용하여 효과적으로 내용 조직하기 등을 학습한다.</t>
  </si>
  <si>
    <t>[10공국2-03-03]</t>
  </si>
  <si>
    <t>신뢰할 수 있는 정보를 종합하여 복합양식 자료가 포함된 공동 보고서를 쓴다.</t>
  </si>
  <si>
    <t>이 성취기준은 수집한 정보의 가치를 판단하고 정보를 종합하여 공동으로 글을 쓰는 능력을 기르기 위해 설정하였다. 특정 주제에 대하여 관심 있는 학습자들이 함께 모여서 연구를 수행하고 보고서를 작성하기 위한 공동 보고서 주제 찾기, 주제에 따른 목차 구성하기, 정보의 신뢰성 판단하며 자료 수집하기, 수집한 자료를 보고서의 형식에 맞게 조직하기, 복합양식 자료를 효과적으로 활용하기, 협력적 태도로 공동 보고서 작성하기 등을 학습한다.</t>
  </si>
  <si>
    <t>[10공국2-04-01]</t>
  </si>
  <si>
    <t>과거 및 현재의 국어생활에 나타나는 국어의 변화를 이해하고 국어문화 발전에 참여한다.</t>
  </si>
  <si>
    <t>[10공국2-04-02]</t>
  </si>
  <si>
    <t>한글 맞춤법의 원리를 적용하여 국어생활을 성찰하고 문제를 해결한다.</t>
  </si>
  <si>
    <t>이 성취기준은 한글 맞춤법의 원리를 적용하여 자신의 국어생활을 성찰하고 실생활에서 발생하는 국어 문제를 해결하는 능력을 길러 교양 있는 표기 생활을 영위하도록 하기 위해 설정하였다. 중학교 1~3학년 ‘국어’의 한글 맞춤법 관련 성취기준에서 한글 맞춤법의 총칙을 중심으로 기본 원리에 대해 학습한 것을 바탕으로, 실제 국어생활에서 자주 혼동되는 표기나 띄어쓰기와 관련된 한글 맞춤법의 조항을 찾아 문제를 해결하도록 하는 데 중점을 둔다. 또한 ‘공통국어1’의 음운 변동 관련 성취기준에서 학습한 지식과 연계된 조항을 다루어 한글 맞춤법에 대한 이해를 심화할 수 있다.</t>
  </si>
  <si>
    <t>[10공국2-05-01]</t>
  </si>
  <si>
    <t>한국 문학사의 흐름을 고려하여 작품을 수용한다.</t>
  </si>
  <si>
    <t>이 성취기준은 개별 작품을 한국 문학사의 흐름 속에서 파악하고 그 가치를 이해하는 능력을 기르게 하기 위해 설정하였다. 한국 문학사가 전개되는 과정에 나타나는 특성, 갈래나 작품 형식의 변화, 향유층의 다양화 등을 고려하며 작품을 수용하게 되면, 개별 작품의 가치와 의미를 더 입체적으로 파악할 수 있게 된다. 한 작품이 다른 여러 작품들과 관계 맺는 양상은 물론 그 관계들로 형성되는 문학사적 맥락 속에서 개별 작품이 가지는 가치와 의의 등을 생각하면서 작품을 수용하도록 한다.</t>
  </si>
  <si>
    <t>[10공국2-05-02]</t>
  </si>
  <si>
    <t>주체적인 관점에서 작품을 해석하고 평가하며 문학을 생활화하는 태도를 지닌다.</t>
  </si>
  <si>
    <t>이 성취기준은 작품을 주체적인 관점에서 해석하고 작품에 대해 능동적으로 평가할 수 있는 안목을 기르게 하기 위해 설정하였다. 다른 사람의 생각을 존중하고 해석의 다양성에 대한 이해를 높이는 한편 자신의 해석과 평가를 설득력 있게 표현하는 경험을 바탕으로 문학을 주체적으로 즐기며 생활화하는 태도를 지닐 수 있도록 한다.</t>
  </si>
  <si>
    <t>[10공국2-06-01]</t>
  </si>
  <si>
    <t>매체 비평 자료를 비판적으로 수용하고 자신의 관점을 담아 매체 비평 자료를 제작한다.</t>
  </si>
  <si>
    <t>이 성취기준은 전문성 있는 기존의 매체 비평 자료에 대한 이해를 바탕으로 매체 자료를 비판적으로 수용하는 방법을 익히고, 더 나아가 주체적으로 매체 비평 자료를 제작할 수 있는 능력을 기르기 위해 설정하였다. 매체 자료에 대해 학습자 스스로 비평하는 활동을 수행한 후 복수의 매체 비평 자료를 참조하여 자신이 비평한 내용과 어떤 공통점 및 차이점이 있는지, 참조한 비평 자료에서는 어떤 특징이 두드러지는지 등을 분석해 본다. 이러한 경험을 토대로 다양한 매체 자료에 대해 주체적으로 비평하는 활동에 참여할 수 있도록 한다.</t>
  </si>
  <si>
    <t>[10공국2-06-02]</t>
  </si>
  <si>
    <t>매체의 변화가 소통 문화에 끼치는 영향을 탐구한다.</t>
  </si>
  <si>
    <t>이 성취기준은 매체의 변천을 역사적 관점에서 이해하고 매체를 기반으로 한 소통 문화를 탐구할 수 있는 능력을 기르기 위해 설정하였다. 매체의 변화는 매체를 기반으로 한 소통 방식과 소통 문화의 변화에 영향을 끼치고 있다. 무선 인터넷의 보급과 스마트폰의 활용, 개인 방송 등 매체 변화로 인해 생겨난 소통 문화의 특성, 매체 기반의 소통에서 나타나는 언어의 특징, 사회 관계망 서비스(SNS)에서 이루어지는 소통 특성 등에 대한 깊이 있는 탐구를 통해 매체 소통 문화를 이해하고 성찰하는 기회를 가지도록 한다.</t>
  </si>
  <si>
    <t>[12화언01-01]</t>
  </si>
  <si>
    <t>언어를 인간의 삶과 관련지어 이해하고, 국어와 국어생활이 시간의 흐름에 따라 변화하는 양상을 분석한다.</t>
  </si>
  <si>
    <t>이 성취기준은 언어에 대한 이해가 곧 인간에 대한 이해임을 바탕으로 언어를 인간의 사고⋅사회⋅문화와 관련하여 분석하고, 국어와 국어생활이 시간의 흐름에 따라 변화함을 이해하며 국어 활동을 하는 능력을 기르기 위해 설정하였다. 실제 언어 자료에 나타난 언어와 사고의 관계, 사회⋅문화와 언어의 표상 관계에 대해 알아보고, 고대 국어 시대부터 현재까지의 국어와 국어생활에서 발견할 수 있는 다양한 변이와 변화를 탐구한다.</t>
  </si>
  <si>
    <t>[12화언01-02]</t>
  </si>
  <si>
    <t>표준 발음을 이해하고 정확하게 발음하는 국어생활을 한다.</t>
  </si>
  <si>
    <t>[12화언01-03]</t>
  </si>
  <si>
    <t>품사와 문장 구조에 대한 지식을 활용하여 언어 자료를 분석하고 설명한다.</t>
  </si>
  <si>
    <t>이 성취기준은 품사와 문장 구조에 대해 이전 학년까지 학습한 내용을 심화하며 그 지식을 활용하여 언어 자료의 특징을 분석하고 설명하는 능력을 기르기 위해 설정하였다. 언어 자료에 사용된 단어의 품사나 문장의 구조를 단순하게 분석하기보다는, 특정 사건이나 현상을 명사로 나타내는 경우와 동사로 나타내는 경우의 표현 효과 차이, 어떠한 생각을 홑문장과 겹문장, 이어진문장과 안은문장 등의 서로 다른 문장 구조로 표현할 때의 적절성과 효과 차이 등을 분석하며 언어 자료를 설명하고, 품사와 문장 구조에 관한 지식을 담화 특성에 맞게 활용한다.</t>
  </si>
  <si>
    <t>[12화언01-04]</t>
  </si>
  <si>
    <t>단어의 짜임과 의미, 단어 간의 의미 관계를 중심으로 어휘를 이해하고 담화에 적절히 활용한다.</t>
  </si>
  <si>
    <t>[12화언01-05]</t>
  </si>
  <si>
    <t>담화의 맥락에 적절한 어휘와 문법 요소를 선택하여 화자의 태도를 드러낸다.</t>
  </si>
  <si>
    <t>이 성취기준은 담화에 사용된 어휘와 문법 요소가 화자의 태도를 드러내는 기능을 한다는 것을 이해하고 담화의 맥락에 적절한 어휘와 문법 요소를 사용할 수 있는 능력을 기르기 위해 설정하였다. 화자의 의도, 청자의 특성, 담화의 목적 등에 적절한 어휘와 문법 요소를 선택하기, 학습자가 담화 맥락을 고려하여 직접 담화를 구성하며 자신의 태도를 드러내는 어휘와 문법 요소를 선택적으로 활용하기 등을 학습한다. 이때 문법 요소로는 문장 종결 표현, 높임 표현, 시간 표현, 피동 표현, 사동 표현, 인용 표현, 부정 표현 중 일부를 학습한다.</t>
  </si>
  <si>
    <t>[12화언01-06]</t>
  </si>
  <si>
    <t>담화의 구조를 고려하여 적절한 어휘와 문장으로 응집성 있는 담화를 구성한다.</t>
  </si>
  <si>
    <t>[12화언01-07]</t>
  </si>
  <si>
    <t>다양한 유형의 담화와 매체를 대상으로 언어의 공공성을 이해하고 평가한다.</t>
  </si>
  <si>
    <t>이 성취기준은 현대 사회의 급변하는 언어 환경에서 공적 담화와 매체를 대상으로 언어의 공공성을 이해하고 평가할 수 있는 능력을 기르기 위해 설정하였다. 다양한 매체가 발달한 오늘날의 의사소통 상황에서는 개인이 생산한 담화가 음성 언어, 문자 언어, 복합양식 등의 형식으로 불특정 다수에게 전달되는 경우가 많음을 고려하여, 표현의 정확성, 적절성, 공정성, 존중과 배려의 언어 등을 중심으로 실제 담화와 매체 자료 속에서 공공성을 이해하고 평가하며 자신이 사용하는 언어에 책임감을 가진다.</t>
  </si>
  <si>
    <t>[12화언01-08]</t>
  </si>
  <si>
    <t>자아 개념이 의사소통 방식에 미치는 영향을 인식하고 협력적인 관계 형성에 적절한 방식으로 대화한다.</t>
  </si>
  <si>
    <t>이 성취기준은 대화를 통해 자아 성장과 대인 관계 발전에 필요한 능력을 기르기 위해 설정하였다. 이전 학년까지 언어 예절 및 배려하고 경청하며 공감하는 대화 방법을 학습한 것에서 나아가, 대화를 통한 자아 개념 형성과 대인 관계 형성에 중점을 둔다. 자아 개념이 타인과의 의사소통 과정에서 형성되며 타인과 소통하는 방식에 영향을 끼치는 순환적인 것임을 이해하고, 긍정적이고 협력적인 관계 형성을 위한 대화 방식을 학습한다.</t>
  </si>
  <si>
    <t>[12화언01-09]</t>
  </si>
  <si>
    <t>정제된 언어적 표현 전략 및 적절한 준언어적⋅비언어적 표현 전략을 활용하여 발표한다.</t>
  </si>
  <si>
    <t>[12화언01-10]</t>
  </si>
  <si>
    <t>화자의 공신력을 이해하고 효과적인 설득 전략을 활용하여 연설한다.</t>
  </si>
  <si>
    <t>이 성취기준은 이성적 설득 전략, 감성적 설득 전략과 함께 화자의 공신력을 활용한 설득 전략도 청중의 태도 변화를 이끌어 내기에 효과적인 설득 전략임을 이해하고, 연설을 통해 설득력 있게 말하는 능력을 기르기 위해 설정하였다. 화자의 성품, 평판, 전문성 등이 연설에서 화자의 공신력을 구성하는 요소이며, 솔직하고 수용적인 태도나 적극성과 자신감이 드러나는 태도 또한 화자의 공신력에 영향을 미침을 이해하고, 다양한 설득 전략의 효과적인 활용 방법을 학습한다.</t>
  </si>
  <si>
    <t>[12화언01-11]</t>
  </si>
  <si>
    <t>토의에서 주제와 관련된 다양한 자료를 통해 공동체의 문제를 분석하고 합리적으로 해결한다.</t>
  </si>
  <si>
    <t>이 성취기준은 의사소통 행위가 공동체의 발전에 기여할 수 있음을 이해하고 토의를 통하여 공동체의 문제를 해결하는 능력을 기르기 위해 설정하였다. 이전 학년까지 토의의 의견 조정하기와 문제를 해결하는 대안 마련하기를 학습한 것에서 나아가, 이 성취기준에서는 토의 주제와 관련된 다양한 자료를 탐색하고 활용하여 공동체가 해결해야 할 문제를 명확히 인식하고 분석하기, 공동체의 문제를 해결하는 합리적인 대안들 도출하기, 대안의 선택을 위한 판단 준거를 설정하고 그것을 바탕으로 합리적인 대안을 선택하여 문제 해결하기 등을 학습한다.</t>
  </si>
  <si>
    <t>[12화언01-12]</t>
  </si>
  <si>
    <t>주장, 이유, 근거를 비판적으로 검토하여 논증의 타당성, 신뢰성, 공정성에 대해 반대 신문하며 토론한다.</t>
  </si>
  <si>
    <t>[12화언01-13]</t>
  </si>
  <si>
    <t>상황에 맞는 협상 전략을 사용하여 서로 만족할 수 있는 대안을 찾아 의사 결정을 한다.</t>
  </si>
  <si>
    <t>이 성취기준은 협상 실행 절차에 따라 상황에 맞는 전략을 사용하여 서로 다른 의견이나 주장을 조율하고 함께 만족할 만한 대안을 모색하는 의사 결정 능력을 기르기 위해 설정하였다. 협상 상황에 따라 다양한 협상 전략을 사용하는 과정에서 상대측 의견이나 제안을 받아들이기, 서로의 의견이나 제안이 다른 경우에 자신의 의견이나 제안을 전략적으로 조정하기, 협상 중 갈등이 생기는 경우에 타협하고 조정하여 상호 만족하는 대안 도출하기 등을 학습한다.</t>
  </si>
  <si>
    <t>[12화언01-14]</t>
  </si>
  <si>
    <t>기호를 활용한 사회적 행위로서의 국어생활을 성찰하고 문제점을 개선하는 태도를 지닌다.</t>
  </si>
  <si>
    <t>[12화언01-15]</t>
  </si>
  <si>
    <t>언어 공동체의 담화 관습을 이해하고, 다양성을 존중하는 의사소통 문화 형성에 기여하는 태도를 지닌다.</t>
  </si>
  <si>
    <t>[12독작01-01]</t>
  </si>
  <si>
    <t>독서와 작문의 의사소통 방법과 특성을 이해하고 문어 의사소통 생활을 주도적으로 실천하고 성찰한다.</t>
  </si>
  <si>
    <t>[12독작01-02]</t>
  </si>
  <si>
    <t>독서의 목적과 작문의 맥락을 고려하여 가치 있는 글이나 자료를 탐색하고 선별한다.</t>
  </si>
  <si>
    <t>이 성취기준은 독자가 자신의 독서 목적에 부합하는 글이나 자료를 스스로 선정하여 자기 선택적 독서를 실천하는 능력, 그리고 작문 맥락에 부합하는 글이나 자료를 탐색하고 선별하여 이를 작문에 활용하는 능력을 기르기 위해 설정하였다. 도서관이나 인터넷 등에서 글이나 자료를 탐색하고 수집하기, 독서 목적과 작문 맥락을 고려하여 글이나 자료를 평가하고 선별하기, 글이나 자료의 출처를 형식에 맞게 정리하기 등을 학습할 수 있다.</t>
  </si>
  <si>
    <t>[12독작01-03]</t>
  </si>
  <si>
    <t>글에 드러난 정보를 바탕으로 글의 내용을 파악하고 글에 드러나지 않은 정보를 추론하며 읽는다.</t>
  </si>
  <si>
    <t>이 성취기준은 글에 드러난 정보를 정확하게 파악하는 사실적 독해 능력을 기르고, 글에 명시적으로 드러나지 않은 정보를 학습자의 배경지식 및 경험을 활용하거나 문맥을 고려하여 파악하는 추론적 독해 능력을 기르기 위해 설정하였다. 사실적 독해와 관련해서는 단어⋅문장⋅문단의 내용 파악하기, 각 문단 사이의 관계 파악하기, 글의 구조나 내용의 전개 방식 파악하기, 내용의 중요도 평가하기, 중심 내용 파악하기, 중심 내용과 세부 내용 구분하기, 요약하기 등을 학습할 수 있다. 추론적 독해와 관련해서는 필자의 의도나 목적 파악하기, 숨겨진 내용 추론하기, 생략된 내용 예측하기, 인물의 특성이나 장면의 분위기 추측하기 등을 학습할 수 있다.</t>
  </si>
  <si>
    <t>[12독작01-04]</t>
  </si>
  <si>
    <t>글의 내용이나 관점, 표현 방법, 필자의 의도나 사회⋅문화적 이념을 평가하며 읽는다.</t>
  </si>
  <si>
    <t>[12독작01-05]</t>
  </si>
  <si>
    <t>글을 읽으며 다양한 내용 조직 방법과 표현 전략을 찾고 이를 글쓰기에 활용한다.</t>
  </si>
  <si>
    <t>이 성취기준은 작문의 목적, 글의 유형, 예상 독자 등 작문의 맥락에 따라 적합한 내용 조직 방법과 표현 전략이 달라질 수 있음을 독서 과정을 통해 인식하고, 이를 작문 상황에서 실제로 적용하여 글을 쓰는 능력을 기르기 위해 설정하였다. 필자의 의도를 고려하여 글에 사용된 내용 조직 방법과 표현 전략을 찾고 분석하기, 독자의 반응을 고려하여 글에 사용된 내용 조직 방법과 표현 전략의 효과성 평가하기, 글의 목적⋅유형⋅예상 독자를 고려하여 효과적인 내용 조직 방법과 표현 전략 활용하기 등을 학습할 수 있다.</t>
  </si>
  <si>
    <t>[12독작01-06]</t>
  </si>
  <si>
    <t>자신의 글을 분석적⋅비판적 관점으로 읽고, 내용과 형식을 효과적으로 고쳐 쓴다.</t>
  </si>
  <si>
    <t>[12독작01-07]</t>
  </si>
  <si>
    <t>인간과 예술을 다룬 인문⋅예술 분야의 글을 읽고 삶과 예술에 대한 자신의 생각을 담은 글을 쓴다.</t>
  </si>
  <si>
    <t>이 성취기준은 인문⋅예술 분야의 글을 읽고 인문학적 세계관을 이해하며 삶과 예술에 대한 인식적⋅윤리적⋅심미적 경험을 글로 표현하는 능력을 기르기 위해 설정하였다. 인문⋅예술 분야의 글에 담긴 인문학적 세계관 파악하기, 삶과 예술의 문제를 대하는 필자의 관점 파악하기, 필자의 관점을 비판적으로 이해하기, 삶과 예술에 대한 경험과 가치관을 진솔하게 표현하기, 삶과 예술에 대해 쓴 글을 발표하고 의견 공유하기 등을 학습할 수 있다.</t>
  </si>
  <si>
    <t>[12독작01-08]</t>
  </si>
  <si>
    <t>사회적⋅역사적 현상이나 쟁점 등을 다룬 사회⋅문화 분야의 글을 읽고 사회⋅문화적 사건이나 역사적 인물에 대한 관점을 담은 글을 쓴다.</t>
  </si>
  <si>
    <t>[12독작01-09]</t>
  </si>
  <si>
    <t>과학⋅기술의 원리나 지식을 다룬 과학⋅기술 분야의 글을 읽고 과학⋅기술의 개념이나 현상을 설명하는 글을 쓴다.</t>
  </si>
  <si>
    <t>이 성취기준은 과학⋅기술의 원리나 지식을 다룬 글을 읽고 학습자가 수집한 다양한 정보와 자료를 활용하여 과학⋅기술의 원리나 현상을 설명하는 글을 쓰는 능력을 기르기 위해 설정하였다. 과학⋅기술의 원리나 지식을 다룬 글을 읽고 정보를 효과적으로 파악하기, 과학⋅기술 분야의 글의 구조와 전개 방식 파악하기, 과학⋅기술 분야의 글을 읽고 내용 생성에 필요한 자료 수집하기, 수집한 자료의 객관성과 신뢰성 평가하기, 예상 독자를 고려하여 효과적으로 조직 및 표현하기 등을 학습할 수 있다.</t>
  </si>
  <si>
    <t>[12독작01-10]</t>
  </si>
  <si>
    <t>글이나 자료에서 가치 있는 정보를 수집하고 효과적으로 조직하면서 정보를 전달하는 글을 쓴다.</t>
  </si>
  <si>
    <t>[12독작01-11]</t>
  </si>
  <si>
    <t>글이나 자료에서 타당한 근거를 수집하고 효과적인 설득 전략을 활용하여 논증하는 글을 쓴다.</t>
  </si>
  <si>
    <t>이 성취기준은 객관적인 근거와 다양한 설득 전략을 활용하여 필자의 주장을 논리적으로 입증하는 능력을 기르기 위해 설정하였다. 논증하는 글을 쓸 때에는 역사적 사실, 실험 결과, 통계 수치, 전문가의 의견, 일반적 여론이나 상식 등 객관적인 근거를 활용하여 필자의 주장이 신뢰할 수 있음을 입증하는 데에 중점을 둔다. 논제와 관련하여 쟁점을 파악하고 필자의 관점 정립하기, 다양한 글과 자료를 수집⋅분석⋅평가하여 객관적인 근거 마련하기, 예상 독자를 고려하여 반론을 예상하고 반박 마련하기, ‘주장과 이유 간의 관계, 이유와 근거 간의 관계, 주장과 예상되는 반론 간의 관계’ 등 논증 요소 간의 논리적 관계를 고려하여 효과적으로 조직하기, 논증하는 글 쓰기의 관습을 고려하여 효과적으로 표현하기 등을 학습할 수 있다.</t>
  </si>
  <si>
    <t>[12독작01-12]</t>
  </si>
  <si>
    <t>정서 표현과 자기 성찰의 글을 읽고 자신의 정서를 진솔하게 표현하거나 자신의 삶을 성찰하는 글을 쓴다.</t>
  </si>
  <si>
    <t>이 성취기준은 정서 표현과 자기 성찰의 글을 읽고 필자의 체험과 생각을 통해 삶에 대한 교훈과 깨달음을 얻고 학습자 자신의 정서를 진솔하게 표현하거나 스스로의 삶을 성찰하는 글을 쓸 수 있는 능력을 기르기 위해 설정하였다. 필자가 가지고 있는 삶에 대한 정서나 가치관 파악하기, 삶에 대한 필자의 가치관과 자신의 가치관 비교하기, 자신의 정서를 과장이나 왜곡 없이 진정성 있게 표현하기, 자신의 경험이나 생각을 되돌아보고 다양한 방식으로 표현하기, 자신의 일상을 기록하는 습관 형성하기, 자신의 삶을 성찰하는 글 쓰기 등을 학습할 수 있다.</t>
  </si>
  <si>
    <t>[12독작01-13]</t>
  </si>
  <si>
    <t>다양한 글을 주제 통합적으로 읽고 학습의 목적과 교과의 특성을 고려하여 학습을 위한 글을 쓴다.</t>
  </si>
  <si>
    <t>이 성취기준은 하나의 주제나 화제에 대해 다양한 관점과 형식을 보이는 글을 읽고 글에 드러난 정보를 비판적으로 수용하고 재구성하는 과정을 통해 주제나 화제에 관하여 학습하기 위한 글을 쓰는 능력을 기르기 위해 설정하였다. 동일한 주제나 화제에 대해 다양한 관점을 지닌 글을 비교⋅대조하면서 분석하기, 교과의 특성을 고려한 정보 전달 방식 파악하기, 학습 목적을 고려하여 내용 요약하기, 교과의 개념이나 원리를 효과적으로 설명하는 글 쓰기, 다양한 표나 그래프를 분석하고 해석하는 글 쓰기, 실험⋅조사의 과정과 결과가 드러나게 보고하는 글 쓰기 등을 학습할 수 있다.</t>
  </si>
  <si>
    <t>[12독작01-14]</t>
  </si>
  <si>
    <t>매체의 유형과 특성을 고려하며 글이나 자료를 읽고 쓴다.</t>
  </si>
  <si>
    <t>[12독작01-15]</t>
  </si>
  <si>
    <t>독서와 작문의 관습과 소통 문화를 이해하고 공동체의 소통 문화 및 담론 형성에 책임감 있게 참여한다.</t>
  </si>
  <si>
    <t>[12문학01-01]</t>
  </si>
  <si>
    <t>문학이 인간과 세계에 대한 이해를 돕고, 삶의 의미를 깨닫게 하며, 정서적⋅미적으로 삶을 고양함을 이해한다.</t>
  </si>
  <si>
    <t>[12문학01-02]</t>
  </si>
  <si>
    <t>문학의 여러 갈래들의 특성과 문학의 맥락에 대해 이해한다.</t>
  </si>
  <si>
    <t>이 성취기준은 문학의 갈래와 맥락에 대한 심화된 이해를 바탕으로 문학 문화를 향유하는 능력을 기르기 위해 설정하였다. 문학 작품은 문학의 갈래와 맥락의 영향을 받으며 형상화되고 이해된다. 문학의 갈래에 따라 세계를 인식하고 형상화하는 원리와 그 특성을 탐구하는 한편, 문학의 주요 맥락인 작가 맥락, 독자 맥락, 사회⋅문화적 맥락, 문학사적 맥락 등을 종합적으로 고려하며 작품을 수용하고 생산하는 데 학습의 초점을 맞춘다.</t>
  </si>
  <si>
    <t>[12문학01-03]</t>
  </si>
  <si>
    <t>주요 작품을 중심으로 한국 문학의 범위와 갈래, 변화 양상을 탐구한다.</t>
  </si>
  <si>
    <t>이 성취기준은 한국 문학을 대표하는 작품들의 감상을 바탕으로 한국 문학의 범위와 갈래, 그리고 변화 양상을 이해하고 탐구하기 위해 설정하였다. 한국 문학의 범위를 이해할 때는 구체적인 작품을 통해 창작 주체, 표현 언어, 내용 등에 대해 학습자들이 능동적으로 탐구하도록 한다. 문학의 기본 갈래는 언어의 성격에 따라 구비 문학, 한문학, 국문 문학의 세 영역 아래 다양한 역사적 갈래로 구현되는 양상을 탐구하도록 하는 데 중점을 둔다. 여러 작품을 비교하고 대조하는 등 학습자의 능동적인 감상을 통해 갈래의 특징과 변화 양상을 파악하도록 한다.</t>
  </si>
  <si>
    <t>[12문학01-04]</t>
  </si>
  <si>
    <t>한국 문학에 반영된 시대 상황을 이해하고 문학과 역사의 상호 영향 관계를 탐구한다.</t>
  </si>
  <si>
    <t>[12문학01-05]</t>
  </si>
  <si>
    <t>한국 작품과 외국 작품을 비교하며 읽고 한국 문학의 보편성과 특수성을 파악한다.</t>
  </si>
  <si>
    <t>[12문학01-06]</t>
  </si>
  <si>
    <t>문학 작품에서는 내용과 형식이 긴밀하게 연관됨을 이해하며 작품을 수용한다.</t>
  </si>
  <si>
    <t>[12문학01-07]</t>
  </si>
  <si>
    <t>작품을 공감적, 비판적, 창의적으로 감상하며, 다양한 방식으로 작품에 대해 비평한다.</t>
  </si>
  <si>
    <t>이 성취기준은 문학 작품에 대한 감상과 비평 능력을 높이기 위해 설정하였다. 작품을 읽으면서 독자는 자신의 처지와 관점에 따라 작품에 공감하기도 하고, 작품 속 인물의 행동이나 작품 속 현실에 비판적인 입장을 취하기도 하며, 작품을 매개로 다양한 상상을 하고 창의적인 생각을 펼치며 감상한다. 이러한 점에 유의하면서 작품의 의미나 주제 등에 대한 기존의 정보에 의존하기보다 학습자가 스스로 자신의 처지와 관점, 취향에 따라 적극적이며 주체적인 태도로 감상하도록 하는 데 중점을 둔다. 이때의 감상 활동은 비평 활동, 즉 작품이 독자에게 주는 의미를 명확하게 하고, 작품의 아름다움이나 감동에 대해 근거를 가지고 설명하는 활동으로 원활히 이어지는 것이 중요하다. 비평 활동은 비평문 작성만이 아닌, 대면 토론이나 온라인 대화, 영상 제작 등 다양한 방식으로 이루어질 수 있다.</t>
  </si>
  <si>
    <t>[12문학01-08]</t>
  </si>
  <si>
    <t>작품을 읽고 새로운 시각으로 재구성하거나 주체적인 관점에서 작품을 창작한다.</t>
  </si>
  <si>
    <t>이 성취기준은 학습자가 수동적인 문학 수용자에 그치지 않고, 문학의 형식으로 자신을 표현하며 세상과 적극적으로 소통하는 능력을 갖추도록 하기 위해 설정하였다. 기존의 작품을 활용하여 작품의 일부를 바꾸거나 개작하는 활동을 할 경우 기계적 모방에 그치지 않고, 개작의 과정에서 문학의 갈래적 특성이나 형식적 특징을 익힐 수 있게 하는 것이 필요하다. 또한 재구성의 과정에서 예전에는 당연했던 가치관이나 인식을 담은 작품들을 현재의 시각이나 독자의 시각에서 비판적으로 살펴보고 주제나 내용을 새롭게 재구성하는 데 중점을 둔다. 그리고 이러한 활동 경험들을 통해 창작에 대한 부담감이나 두려움을 낮추고, 나아가 자신의 생각이나 감정을 적극적으로 담아내려 시도하는 가운데 자연스럽게 학습자의 창작 능력이 향상될 수 있게 한다.</t>
  </si>
  <si>
    <t>[12문학01-09]</t>
  </si>
  <si>
    <t>다양한 매체로 구현된 작품의 창의적 표현 방법과 심미적 가치를 문학적 관점에서 수용하고 소통한다.</t>
  </si>
  <si>
    <t>[12문학01-10]</t>
  </si>
  <si>
    <t>문학을 통하여 자아를 성찰하고, 타자를 이해하며 상호 소통한다.</t>
  </si>
  <si>
    <t>[12문학01-11]</t>
  </si>
  <si>
    <t>문학을 통해 공동체가 처한 여러 문제들을 이해하고 문제 해결에 참여하는 태도를 지닌다.</t>
  </si>
  <si>
    <t>이 성취기준은 학습자가 문학을 통해 자신이 속한 공동체의 문제를 인식하고 문제를 해결하기 위한 소통의 과정에 적극적으로 참여하는 시민으로서의 능력과 태도를 함양하도록 하기 위해 설정하였다. 우리가 속한 공동체는 생태적 위기, 사회적 불평등 및 차별의 문제 등 여러 난제에 직면해 있다. 이러한 내용을 다루는 문학 작품의 수용과 생산 활동을 통해 공동체의 문제를 이해하고, 다양성을 존중하며 공존의 해법을 찾는 과정에 참여하는 태도를 기르는 데 중점을 둔다.</t>
  </si>
  <si>
    <t>[12문학01-12]</t>
  </si>
  <si>
    <t>주체적인 문학 활동을 생활화하여 지속적으로 문학을 즐기는 태도를 지닌다.</t>
  </si>
  <si>
    <t>이 성취기준은 일상생활에서 작품의 수용과 생산 활동에 주체적으로 참여하고 문학을 꾸준히 즐기는 태도를 갖추어 능동적이고 지속적인 문학 향유자로 성장하도록 하기 위해 설정하였다. 학습자들이 자신의 흥미와 관심사에 따라 문학 작품을 적극적으로 찾아 읽거나 쓰는 데 기쁨과 즐거움을 느끼고, 관심사를 확장하여 다양한 작품을 읽으며 문학 활동을 통한 경험의 영역을 확장할 수 있도록 하는 데 중점을 둔다. 특히, 이러한 활동이 일상생활에서 지속적으로 이루어지도록 하고, 성인기의 삶에서도 문학 생활화가 지속되도록 하는 기반을 마련한다. 이를 위해 학교 안팎에서 이루어지는 다양한 문학 활동에 참여한다. 사회 관계망 서비스(SNS)를 활용한 문학 감상 및 창작물 공유, 낭송⋅낭독 모임, 작가와의 만남, 문학 동아리, 북 콘서트, 문학관 방문, 문학 답사 등에 적극적으로 참여할 기회를 갖는다.</t>
  </si>
  <si>
    <t>[12주탐01-01]</t>
  </si>
  <si>
    <t>주제 탐구 독서의 의미를 이해하고 관심 있는 분야에서 탐구할 주제를 탐색한다.</t>
  </si>
  <si>
    <t>[12주탐01-02]</t>
  </si>
  <si>
    <t>학업과 진로 탐색을 위해 주제 탐구의 독서 목적을 수립하고 주제를 선정한다.</t>
  </si>
  <si>
    <t>[12주탐01-03]</t>
  </si>
  <si>
    <t>관심 분야의 책과 자료가 지닌 특성을 파악하며 주제 탐구 독서를 한다.</t>
  </si>
  <si>
    <t>이 성취기준은 주제 탐구를 위해 학습자가 관심 있는 분야에서 선정한 책과 자료의 특성을 파악하며 주체적이고 능동적인 독서 활동을 통해 ‘의사소통 역량’ 및 ‘비판적⋅창의적 사고 역량’을 함양하기 위해 설정하였다. 교과 학습 과정에서 학습자의 흥미와 진로를 고려하여 선정한 각 분야별 책과 자료가 지닌 특성을 이해하고, 이를 바탕으로 적절하고 효과적인 독서 방법을 선택하여 읽는다. 이 과정에서 모든 분야의 책과 자료가 지닌 특성을 알아야 하는 것은 아니므로 학습자가 선택한 분야와 주제로 범위를 한정하여 학습 부담이 과중되지 않도록 한다.</t>
  </si>
  <si>
    <t>[12주탐01-04]</t>
  </si>
  <si>
    <t>주제와 관련된 책이나 자료를 탐색하면서 신뢰할 수 있고 가치 있는 정보를 선정하여 분석하며 읽는다.</t>
  </si>
  <si>
    <t>이 성취기준은 주제와 관련된 책이나 자료를 다양하게 탐색하면서 적절한 정보를 선정하는 능력을 기르고, 선정한 정보를 깊이 있게 이해⋅분석하는 능력을 신장시키기 위해 설정하였다. 주제와 관련된 책이나 자료를 능동적으로 탐색하는 태도는 주제 탐구 독서의 바탕이 됨을 알고, 주제와 자료의 관련성 및 정보의 신뢰성을 종합적으로 판단하여 가치 있는 정보를 선정할 수 있도록 한다. 또한 학습자가 선정한 정보의 내용을 깊이 있게 이해하고 체계적으로 분석할 수 있도록 안내한다.</t>
  </si>
  <si>
    <t>[12주탐01-05]</t>
  </si>
  <si>
    <t>주제에 관련된 책과 자료를 종합하여 읽으며 자신의 관점과 견해를 형성한다.</t>
  </si>
  <si>
    <t>이 성취기준은 선정한 지식과 정보를 비교⋅분석하고 재구성하는 등의 의미 확장 과정을 통해 학습자가 주제에 대한 관점과 견해를 형성할 수 있도록 하기 위해 설정하였다. 주제와 관련된 다양한 책과 자료들을 비교⋅분석하기 위해 텍스트 구조 이해하기, 책과 자료에 드러난 정보 비교⋅대조하기 등을 학습한다. 이해 정도를 점검⋅조정하고 상충되는 정보를 통합해 보면서 주제에 대한 자신의 관점과 견해를 형성할 수 있도록 안내한다.</t>
  </si>
  <si>
    <t>[12주탐01-06]</t>
  </si>
  <si>
    <t>매체를 포함한 다양한 방법으로 주제 탐구 독서의 과정이나 결과를 사회적으로 공유하고 소통한다.</t>
  </si>
  <si>
    <t>이 성취기준은 매체 활용을 바탕으로 한 ‘디지털⋅미디어 역량’과 주제 탐구 독서의 과정이나 결과를 공유하고 사회적으로 소통할 수 있는 ‘의사소통 역량’을 기르기 위해 설정하였다. 주제 탐구 독서에서는 서평, 주제 탐구 보고서 등 전통적인 글쓰기 이외에도 다양한 매체를 활용한 구두 발표 형식으로 탐구의 과정이나 결과를 구성원들과 공유할 수 있다. 특히 오늘날에는 카드 뉴스, 웹툰, 동영상 등 온라인 플랫폼과 사회 관계망 서비스(SNS) 등의 다양한 매체가 빠르게 발전하고 있으므로, 이러한 매체를 적극적으로 활용할 수 있도록 한다.</t>
  </si>
  <si>
    <t>[12주탐01-07]</t>
  </si>
  <si>
    <t>주제 탐구 독서를 생활화하여 주도적으로 삶을 성찰하고 계발한다.</t>
  </si>
  <si>
    <t>[12문영01-01]</t>
  </si>
  <si>
    <t>문학과 영상의 형상화 방법과 그 특성을 이해한다.</t>
  </si>
  <si>
    <t>이 성취기준은 문학과 영상의 형상화 방법과 그 특성을 파악함으로써 문학과 영상에 대한 이해를 넓히고, 이를 바탕으로 문학과 영상을 이해하는 능력을 기르기 위해 설정하였다. 문학은 갈래에 따라 언어적 형상화 방법을 다양하게 발전시켜 온 분야이며, 영상은 시각적 요소와 청각적 요소의 결합과 배치를 통해 영화, 드라마, 광고, 애니메이션 등 다양한 장르를 창출해 온 분야이다. 빛, 색상, 구도, 동작 등의 시각적 요소와 대사, 음향 효과, 배경 음악 등의 청각적 요소가 영상 속에서 조화를 이루며 결합되어 하나의 영상물로 완성된다는 점을 고려하면서 영상의 형상화 방법과 그 특성을 학습한다. 문학 작품과 영상물을 감상하는 과정에서 문학과 영상의 형상화 방법과 그 특성을 비교하여 탐구함으로써 둘의 공통점과 차이점을 이해한다.</t>
  </si>
  <si>
    <t>[12문영01-02]</t>
  </si>
  <si>
    <t>양식과 매체에 따른 특성과 효과를 고려하여 문학 작품과 영상물을 해석하고 비평한다.</t>
  </si>
  <si>
    <t>[12문영01-03]</t>
  </si>
  <si>
    <t>문학 작품과 영상물 간의 영향 관계와 상호 작용의 효과를 파악한다.</t>
  </si>
  <si>
    <t>이 성취기준은 문학 작품과 영상물 간의 영향 관계와 상호 작용의 효과를 파악하는 능력을 기르기 위해 설정하였다. 영향 관계가 있거나 유의미한 비교가 가능한 문학 작품과 영상물을 찾아 유사점과 차이점을 분석하고, 문학 작품과 영상물 간 상호 작용의 효과와 그 의의 등을 학습한다. 문학과 영상의 특성을 고려하며 문학 작품과 영상물을 감상하면서 표현 방식, 내용 전개, 관점, 주제 등을 비교하며 분석하는 데 중점을 두고, 문학 작품을 영상물로, 영상물을 문학 작품으로 재구성한 사례 등을 통해 상호 작용의 효과를 파악하는 데 초점을 맞춘다.</t>
  </si>
  <si>
    <t>[12문영01-04]</t>
  </si>
  <si>
    <t>문학 창작과 영상 창작의 요소와 기법을 바탕으로 문학 작품과 영상물을 수용⋅생산한다.</t>
  </si>
  <si>
    <t>이 성취기준은 문학과 영상의 창작 요소를 중심으로 다양한 기법의 특성과 효과를 이해하고 이를 바탕으로 문학 작품과 영상물을 수용하고 생산하는 능력을 기르기 위해 설정하였다. 문학 창작의 요소와 기법을 학습할 때는 갈래별 구성 요소를 중심으로 미적 형식과 문학적 표현 방식에 중점을 두어 이해하고, 영상 창작의 요소와 기법은 시각적 요소와 청각적 요소를 중심으로 화면의 구도와 시점, 소리의 크기와 음색, 컷의 배열과 화면 전환 등 연출 기법에 중점을 두어 이해한다. 기법에 대한 전문적인 지식을 강조하기보다는 실제적인 수용⋅생산 활동을 통해 기법의 특성과 효과를 이해할 수 있도록 한다. 이때 수용 활동과 생산 활동은 선택적 혹은 통합적으로 계획하여 학습할 수 있다.</t>
  </si>
  <si>
    <t>[12문영01-05]</t>
  </si>
  <si>
    <t>소재가 유사한 문학 작품과 영상물을 비교하면서 통합적으로 수용한다.</t>
  </si>
  <si>
    <t>이 성취기준은 유사한 소재를 형상화한 문학 작품과 영상물을 찾고 통합적으로 수용할 수 있는 능력을 기르기 위해 설정하였다. 문학과 영상은 특정한 인물 유형, 사건, 가치, 정서, 시공간 등과 관련된 소재나 주제, 발상을 공유하되 서로 다른 관점과 형식으로 형상화한다. 학습자가 유사한 소재를 다룬 문학 작품과 영상물을 다양하게 찾아 선별한 후 소재에 대한 관점과 형상화 방식 등을 비교하고 서평 쓰기, 비평문 쓰기, 발표하기, 공유하기 등을 통해 학습자의 시각으로 통합할 수 있도록 한다.</t>
  </si>
  <si>
    <t>[12문영01-06]</t>
  </si>
  <si>
    <t>문학 작품과 영상물을 효과적으로 전달할 수 있는 경로와 매체를 선택하여 공유한다.</t>
  </si>
  <si>
    <t>[12문영01-07]</t>
  </si>
  <si>
    <t>문학과 영상에 관련된 진로와 분야에서 요구하는 문화적 소양에 대해 탐구한다.</t>
  </si>
  <si>
    <t>이 성취기준은 문학과 영상에 관련된 진로와 분야에서 요구하는 문화적 소양을 갖추기 위해 설정하였다. 문학과 영상은 교육과 산업, 비평과 연구, 편집과 출판, 창작과 제작 등의 다양한 진로 및 분야와 관련이 깊다. 학습자가 이러한 진로와 분야를 능동적으로 탐색하고 설계할 수 있도록 조사와 면담, 참여 관찰 등을 통해 관련 진로와 분야를 직간접적으로 체험하고, 진로와 분야가 요구하는 지식, 능력, 경험 등 문화적 소양을 파악할 수 있도록 한다.</t>
  </si>
  <si>
    <t>[12문영01-08]</t>
  </si>
  <si>
    <t>문학 작품과 영상물을 비판적으로 수용하며 자신의 삶을 성찰한다.</t>
  </si>
  <si>
    <t>[12문영01-09]</t>
  </si>
  <si>
    <t>문학 작품과 영상물을 통해 창의적 사고를 표현하고 세계와 적극적으로 소통하는 태도를 가진다.</t>
  </si>
  <si>
    <t>[12문영01-10]</t>
  </si>
  <si>
    <t>문학 작품과 영상물의 수용과 생산 활동에 따르는 윤리적 책임을 인식하면서 주체적이고 능동적으로 참여한다.</t>
  </si>
  <si>
    <t>이 성취기준은 문학 작품과 영상물의 수용과 생산 활동에 필요한 윤리적 책임감과 주체적이고 능동적인 태도를 기르기 위해 설정하였다. 문학 작품과 영상물의 사회적 영향력을 인식하면서 문학 작품과 영상물의 수용과 생산이 다른 작품의 가치나 권리 등을 존중하고 개인과 공동체의 삶을 성찰적으로 재현하는 과정이라는 점을 이해하는 데 중점을 둔다. 또한, 매체 환경의 변화에 따라 수용과 생산이 긴밀하게 연계된다는 점을 인식하면서 문학 작품과 영상물을 주체적이고 능동적으로 수용하고 생산하려는 태도를 기르는 데 학습의 초점을 맞춘다.</t>
  </si>
  <si>
    <t>[12직의01-01]</t>
  </si>
  <si>
    <t>직무 의사소통의 목적과 맥락, 매체, 참여자 특성을 이해하고 적절한 표현을 사용하여 능동적으로 소통한다.</t>
  </si>
  <si>
    <t>이 성취기준은 직무 의사소통의 다양하고 역동적인 상황 및 사회⋅문화적 맥락, 참여자의 특성을 이해하고 그에 적합한 표현을 사용하여 소통할 수 있는 능력을 기르기 위해 설정하였다. 직무 의사소통의 목적, 맥락, 매체, 참여자 특성, 직무 환경에 적합한 어휘 사용하기, 어법에 맞고 의미가 정확한 문장 사용하기, 다양한 직무 상황에 적합하게 자신의 생각이나 의견 표현하기 등을 학습한다.</t>
  </si>
  <si>
    <t>[12직의01-02]</t>
  </si>
  <si>
    <t>직무 공동체의 다양한 소통 문화와 직무 환경 변화에 적합하게 자기를 소개하고 면접에 참여한다.</t>
  </si>
  <si>
    <t>[12직의01-03]</t>
  </si>
  <si>
    <t>효과적인 진로 탐색 및 직무 수행을 위해 다양한 방법으로 정보를 수집하고 분석하여 내용을 이해하고 평가한다.</t>
  </si>
  <si>
    <t>이 성취기준은 진로 탐색과 취업 준비, 실질적인 직무 수행과 관련된 다양한 정보를 조사⋅수집⋅분석⋅해석함으로써 직무를 명료하게 수행할 수 있는 능력을 기르기 위해 설정하였다. 직무와 관련된 문제를 해결하기 위한 정보와 자료를 조사⋅수집하기, 정보와 자료를 목적에 맞게 선별⋅분석하여 핵심 내용을 이해하기, 정보와 자료에 담긴 의도를 추론하고 내용을 비판하기 등을 학습한다.</t>
  </si>
  <si>
    <t>[12직의01-04]</t>
  </si>
  <si>
    <t>적절한 매체를 사용하여 직무에 필요한 정보를 체계적으로 관리하고 활용한다.</t>
  </si>
  <si>
    <t>이 성취기준은 직무에 필요한 정보를 적절하고 효과적으로 활용하기 위하여 정보에 대한 이해를 바탕으로, 직무와 관련된 정보를 안전하고 체계적으로 관리하는 능력을 기르기 위해 설정하였다. 직무 관련 정보를 체계적으로 관리하기, 정보를 직무 의사소통 맥락에 맞게 적절하게 활용하기 등을 학습한다.</t>
  </si>
  <si>
    <t>[12직의01-05]</t>
  </si>
  <si>
    <t>정보를 효과적으로 조직하여 직무의 목적⋅대상⋅상황에 적합하게 표현한다.</t>
  </si>
  <si>
    <t>[12직의01-06]</t>
  </si>
  <si>
    <t>직무 수행 과정에서 발생하는 의사소통 문제와 대인 관계 갈등에 대해 대화와 협의로 대처하고 조정한다.</t>
  </si>
  <si>
    <t>[12직의01-07]</t>
  </si>
  <si>
    <t>직무 공동체의 의사 결정 과정에 적극적으로 참여하여 대안을 탐색하고 합리적으로 문제를 해결한다.</t>
  </si>
  <si>
    <t>[12직의01-08]</t>
  </si>
  <si>
    <t>직무 상황에서 구성원들과 다양한 매체를 활용하여 적극적으로 협업하고 언어 예절을 갖추어 소통한다.</t>
  </si>
  <si>
    <t>이 성취기준은 직무 공동체에서 구성원들이 함께 직무를 수행하는 과정 중에 다양한 매체를 활용해 협업하고 소통하는 능력과 직무 상황에 적절하게 의사소통 예절을 갖추어 표현하는 능력을 기르기 위해 설정하였다. 메타버스, 원격 화상 회의 등 직무 의사소통 수행 양상이 다변화함에 따라 다양한 매체를 소통의 도구로 활용할 수 있음을 이해하기, 직무에 활용할 수 있는 매체의 종류와 이용 방법 및 유의점 파악하기, 각각의 매체들이 가진 특성을 고려하여 직무 의사소통에 적절한 매체 선정하기, 공동의 문제를 해결하기 위해 적절한 매체를 활용해 협업하기, 직장 언어 예절 지키기 등을 학습한다.</t>
  </si>
  <si>
    <t>[12직의01-09]</t>
  </si>
  <si>
    <t>개인의 권리와 정보 보안에 대한 책무를 인식하면서 직무 의사소통에 참여한다.</t>
  </si>
  <si>
    <t>이 성취기준은 직무 공동체에서 의사소통을 하고 직무 관련 각종 정보를 관리하고 활용하는 과정에서 개인의 권리와 정보 보안의 중요성 및 책무성을 인식하는 태도를 기르기 위해 설정하였다. 자신과 타인의 권리 보호 및 정보 보안에 대한 책무성을 인식하고 실천하기, 저작권, 초상권 등의 개인 권리와 정보 보안이 지켜지지 않았을 때의 문제 상황에 따른 대응 방법 익히기 등을 학습한다.</t>
  </si>
  <si>
    <t>[12직의01-10]</t>
  </si>
  <si>
    <t>직무 환경의 변화에 대응하여 지속적으로 자기를 계발하고, 직무 의사소통에 능동적이고 협력적으로 참여하는 태도를 지닌다.</t>
  </si>
  <si>
    <t>[12독토01-01]</t>
  </si>
  <si>
    <t>개인이나 공동체의 관심사를 고려하여 읽을 책을 선정한 후 질문을 생성하고 주체적으로 해석하며 책을 읽는다.</t>
  </si>
  <si>
    <t>이 성취기준은 독서 토론과 글쓰기의 맥락을 고려하여 스스로 책을 선정하고 자기주도적으로 독서하는 능력을 기르기 위해 설정하였다. 개인의 요구나 관심사, 학업이나 진로, 공동체의 문제나 사회적 현안 등을 고려하여 읽을 책을 선정하고, 독서 전⋅중⋅후 과정에서 필자, 독자, 텍스트, 맥락 등 독서의 구성 요소에 대해 질문을 생성하거나, 내용을 확인하며 읽기, 추론하며 읽기, 비판적으로 읽기, 창의적으로 읽기 등의 방법을 고려하여 질문을 생성하도록 한다. 주체적 해석을 위해서는 저자의 생각에 대한 이유나 근거 파악하기, 저자와 자신의 생각을 비교하기, 자신의 삶에 비추어 책의 내용 해석하기, 책에 담긴 정보나 저자의 의견에 대한 타당성과 신뢰성 판단하기 등을 학습한다.</t>
  </si>
  <si>
    <t>[12독토01-02]</t>
  </si>
  <si>
    <t>대화, 토의, 토론 등 적절한 방법을 활용하여, 서로 다른 생각과 관점을 존중하며 독서 토론을 한다.</t>
  </si>
  <si>
    <t>[12독토01-03]</t>
  </si>
  <si>
    <t>독서 토론의 내용을 바탕으로 쓰기 목적, 독자, 매체를 고려하여 글을 쓰고 공유한다.</t>
  </si>
  <si>
    <t>[12독토01-04]</t>
  </si>
  <si>
    <t>인간의 삶에 대한 다양한 시각과 해석이 담긴 책을 읽고 독서 토론하고 글을 쓰며 자아를 탐색하고 타자와 세계를 이해한다.</t>
  </si>
  <si>
    <t>이 성취기준은 독서 토론과 글쓰기 과정에서 더불어 살아가는 삶의 가치를 인식하고 자신과 타자, 세계를 이해하고 공감하는 능력을 기르기 위해 설정하였다. 다양한 인간상이나 삶의 가치를 다룬 문학 작품, 인간 탐구를 주제로 하는 인문학 관련 책, 개인과 사회의 관계나 인간과 자연의 관계를 탐구하는 책 등을 읽고, 책 속에 담긴 다양한 삶의 방식 이해하기, 책 속의 인물이나 사회가 추구하는 가치관 비평하기, 자아와 타자 또는 자아와 세계의 관계에 대해 대화하기, 자아와 타자, 세계에 대한 성찰이나 이해가 드러나는 글을 쓰고 공유하기 등을 학습한다.</t>
  </si>
  <si>
    <t>[12독토01-05]</t>
  </si>
  <si>
    <t>다양한 분야의 정보가 담긴 책을 읽고 독서 토론하고 글을 쓰며 학습이나 삶에 필요한 지식을 확장하고 교양을 함양한다.</t>
  </si>
  <si>
    <t>이 성취기준은 독서 토론과 글쓰기 과정에서 학습이나 삶에 필요한 지식을 확장하고 교양을 함양하여 평생 학습을 실현하고 교양인으로서의 품위를 기르기 위해 설정하였다. 인문⋅예술, 사회⋅문화, 과학⋅기술 등의 분야에서 학문적 성과가 담긴 책, 새로운 관점이나 사유가 담긴 책 등을 읽고, 책에 담긴 정보의 의미와 정보 간의 관계 파악하기, 학습이나 진로, 실생활에 필요한 정보를 선별하고 재구성하기, 새로운 정보의 가치에 대해 토의하고 비판적으로 수용하기, 새롭게 알게 된 정보를 활용하여 글을 쓰고 공유하기 등을 학습한다.</t>
  </si>
  <si>
    <t>[12독토01-06]</t>
  </si>
  <si>
    <t>사회적인 현안이나 쟁점이 담긴 책을 읽고 독서 토론하고 글을 쓰며 공동체 문제를 해결하고 사회적 담론에 참여한다.</t>
  </si>
  <si>
    <t>이 성취기준은 독서 토론과 글쓰기 과정에서 공동체의 문제를 탐구하고 해결하며 사회적인 담론에 능동적으로 참여하는 능력을 기르기 위해 설정하였다. 청소년 관련 사회 문제를 다룬 책, 집단 간의 갈등, 인권, 생태⋅환경 등 우리 사회의 문제나 전 지구적인 문제를 다룬 책을 읽고, 공동체 문제와 관련된 현안이나 쟁점 분석하기, 책의 내용을 바탕으로 문제 해결 방안을 모색하는 토의 및 토론하기, 다양한 대안을 찾고 대안의 타당성과 실현 가능성 평가하기, 사회적 담론에 참여하는 글을 쓰고 공유하기 등을 학습한다.</t>
  </si>
  <si>
    <t>[12독토01-07]</t>
  </si>
  <si>
    <t>독서 토론과 글쓰기의 특성을 이해하고 독서, 독서 토론, 글쓰기에 능동적으로 참여한다.</t>
  </si>
  <si>
    <t>[12매의01-01]</t>
  </si>
  <si>
    <t>매체의 기능과 역할에 대한 이해를 바탕으로 시대별 매체 환경과 소통 문화의 변화 과정을 탐색한다.</t>
  </si>
  <si>
    <t>이 성취기준은 매체의 기능과 역할에 대한 이해를 바탕으로 매체 환경의 변화가 개인과 사회에 미치는 영향력을 인식하고 매체 소통 현상에 대한 관찰력을 기르기 위해 설정하였다. 정보 수집 및 전달, 갈등 조정, 문화 전파 및 전수, 오락 기능 등을 중심으로 매체의 기능에 대해 이해하고, 매체의 사회적 역할을 인식하도록 한다. 이를 바탕으로 신문, 라디오, 텔레비전, 컴퓨터와 인터넷, 스마트폰 등 시대를 대표하는 매체의 등장이 매체 환경에 어떤 변화를 가져왔는지 파악하고 매체의 기능과 역할, 소통 문화, 생활 방식 등이 어떻게 달라졌는지 탐구하도록 한다.</t>
  </si>
  <si>
    <t>[12매의01-02]</t>
  </si>
  <si>
    <t>소셜 미디어나 온라인 동영상 플랫폼 등의 디지털 매체 환경에서 청소년 문화가 지닌 문제와 가능성을 탐구한다.</t>
  </si>
  <si>
    <t>이 성취기준은 소셜 미디어나 온라인 동영상 플랫폼 등의 디지털 매체 환경에서 청소년들이 매체 의사소통의 주체로서 자신의 문화를 성찰하고 가능성을 탐구하는 능력을 기르기 위해 설정하였다. 청소년들은 매체를 통해 자기를 표현하고 타인과 관계를 맺으며 소통하고, 학업 및 진로 등에 필요한 정보나 즐거움을 얻기도 한다. 이 과정에서 청소년은 집단지성을 발휘하여 지식을 확장하고 공유하며, 다양한 사회활동에 참여하면서 자신의 역량과 잠재력을 발휘한다. 동시에 부적절한 정보나 매체 자료의 영향을 받거나 디지털 소통에 과몰입하기도 한다. 청소년의 매체 이용 방식에 대해 성찰하고, 자신과 공동체의 문제 해결을 위한 방안에 대해 탐구하도록 한다.</t>
  </si>
  <si>
    <t>[12매의01-03]</t>
  </si>
  <si>
    <t>영화, 게임, 웹툰 등의 매체 자료가 현실을 재현하는 방식을 분석하며 생산자의 의도나 관점을 파악한다.</t>
  </si>
  <si>
    <t>이 성취기준은 영화, 광고, 게임, 웹툰, 웹드라마, 애니메이션 등 다양한 매체 자료가 현실을 어떻게 재현하고 있는가를 분석하는 능력을 기르기 위해 설정하였다. 재현이란 현실에 존재하는 대상을 매체를 통하여 다시 나타내는 것으로, 매체가 재현하는 현실은 특정한 관점과 의도에 의해 선택되거나 배제된, ‘중재된’ 세상이다. 예를 들어, 영화, 게임, 웹툰 등 서사가 드러난 매체 자료에서 특정한 이야기나 사건, 인물을 나타내기 위해 어떤 표현이 선택되거나 배제되는지를 파악하면서 매체에 재현된 현실이 매체 생산자의 의도나 관점에 따라 다름을 이해한다. 그리고 특정한 성, 지역, 직업, 계층, 연령 등과 관련된 고정 관념이 매체 자료에 어떻게 표현되는지를 분석하면서 매체 자료가 어떤 사회적 메시지나 가치를 담고 있는지를 분석하고, 그에 따라 생산자의 의도가 무엇인지 또한 이에 대한 자신의 생각이나 관점이 무엇인지 설명할 수 있도록 안내한다.</t>
  </si>
  <si>
    <t>[12매의01-04]</t>
  </si>
  <si>
    <t>디지털 매체 환경에서 매체 생산자의 관점을 파악하고 매체 자료의 신뢰성을 판단한다.</t>
  </si>
  <si>
    <t>이 성취기준은 포털사이트, 소셜 미디어, 온라인 동영상 플랫폼 등 디지털 매체 환경에서 매체 자료를 비판적으로 분석하고 수용하는 능력을 기르기 위해 설정하였다. 언론사에서 생산한 뉴스, 개인이나 집단이 소셜 미디어 등에서 생산⋅공유한 정보의 내용과 표현 방식 등을 탐색하면서 매체 생산자가 의도한 상업적 이익이나 사회적 목적이 무엇인지 분석하도록 한다. 예를 들어, 매체 자료가 실제 대상이나 사건의 어떤 점을 부각하는지, 어떤 관점을 대변하고 어떤 쟁점에 침묵하는지 등을 분석하여 매체 생산자의 의도와 관점을 파악할 수 있다. 또한 매체 자료에 포함된 근거 자료가 정확한지, 매체의 출처가 믿을 만한지를 확인하고 유사한 주제를 다루었거나 관점이 다른 매체 자료와 비교하면서 매체 자료를 신뢰할 수 있는지를 종합적으로 판단하도록 한다.</t>
  </si>
  <si>
    <t>[12매의01-05]</t>
  </si>
  <si>
    <t>사회적 규범과 규제가 매체 자료의 생산과 소통에 미치는 영향을 조사하고 그 의미를 탐구한다.</t>
  </si>
  <si>
    <t>이 성취기준은 매체 자료가 사회적 규범과 규제 속에서 소통된다는 것을 이해하고, 이를 바탕으로 매체 자료에 반영된 사회적 규범과 규제의 영향을 분석하기 위해 설정하였다. 이를 위해 이용자가 참여하는 플랫폼을 둘러싸고 있는 생태계의 특성이나 특정 플랫폼에서 자체적으로 생성한 자율적인 규범이나 준칙 등에 대해 조사하고 공유하도록 한다. 그리고 저작권, 초상권, 개인 정보 보호, 잊힐 권리 등 디지털 매체 환경에서 지키도록 사회적으로 합의된 규범이 무엇인지 탐색하도록 한다. 또한 이용 등급 분류, 보도 준칙, 방송 광고 규제, 인터넷 실명제, 게임 시간 선택제 등 사회적 규제의 원칙과 쟁점 사항을 분석하도록 한다. 이를 통해 매체 자료의 생산과 소통에 미치는 사회적 규범과 규제의 특성과 적절성을 비판적으로 탐구하도록 한다.</t>
  </si>
  <si>
    <t>[12매의01-06]</t>
  </si>
  <si>
    <t>개인적⋅사회적 관심사에 대한 자신의 관점이 드러나는 주제를 선정하여 설득력 있는 매체 자료를 제작하고 공유한다.</t>
  </si>
  <si>
    <t>[12매의01-07]</t>
  </si>
  <si>
    <t>매체 자료의 생산자이자 수용자로서 권리와 책임을 인식하고 사회적 가치와 문제에 대해 소통한다.</t>
  </si>
  <si>
    <t>[12언탐01-01]</t>
  </si>
  <si>
    <t>자신의 언어생활에서 의미 있는 탐구 주제를 발견하여 탐구 절차에 따라 언어 자료를 수집하고 비판적으로 분석한다.</t>
  </si>
  <si>
    <t>[12언탐01-02]</t>
  </si>
  <si>
    <t>언어 자료를 평가⋅해석하고 그 결과를 공유하며 자신과 공동체의 언어생활에 대한 민감성과 책임감을 지닌다.</t>
  </si>
  <si>
    <t>[12언탐01-03]</t>
  </si>
  <si>
    <t>글과 담화의 소통 맥락을 고려하여 다양한 분야 및 교과의 언어 자료에 나타난 표현 특성과 효과를 탐구한다.</t>
  </si>
  <si>
    <t>이 성취기준은 다양한 분야와 교과에서 글이나 담화가 소통되는 맥락을 이해하고, 글이나 담화에 전략적으로 사용된 표현 특성과 효과를 탐구하는 능력을 기르기 위해 설정하였다. 다양한 전문 분야 및 교과의 글이나 담화에서 수집한 어휘, 문장, 문법 요소, 담화 구조 등을 분석하여 언어 사용 주체의 의도가 반영된 표현 전략과 그 효과를 파악한다. 또한 각 전문 분야 및 교과의 글이나 담화에 사용되는 전문어와 사고 도구어를 살펴보고, 각 교과에 사용된 언어를 비교⋅분석하여 학습을 위한 언어의 표현 방식과 특성을 탐구한다.</t>
  </si>
  <si>
    <t>[12언탐01-04]</t>
  </si>
  <si>
    <t>가정, 학교, 사회의 언어 사용에 나타난 정체성의 실현 양상과 관계 형성의 양상을 탐구한다.</t>
  </si>
  <si>
    <t>이 성취기준은 인간은 언어를 사용하여 자신의 정체성을 다층적으로 드러낸다는 점을 이해하고, 사회적 관계를 만들어 가는 기호적 실천 행위로서 언어가 지니는 특성을 탐구하기 위해 설정하였다. 언어에는 언어 사용자의 개인적⋅사회적 정체성이 반영됨을 이해하고, 가정⋅학교⋅사회의 각 공동체에서 소속 여부 및 친소 관계나 사회적 지위 관계 등에 따른 언어 사용의 공통점과 차이점을 비교한다. 학습자의 일상생활을 비롯하여 책, 드라마나 영화 등의 여러 매체에 나타나는 구체적인 의사소통 맥락을 중심으로 자신의 언어 사용에 나타난 정체성 및 공동체 구성원과의 관계를 규정하고 형성해 나가는 양상을 탐구한다.</t>
  </si>
  <si>
    <t>[12언탐01-05]</t>
  </si>
  <si>
    <t>다양한 매체 환경에서 사회적 담론이 형성되는 맥락과 과정을 탐구한다.</t>
  </si>
  <si>
    <t>이 성취기준은 다양한 매체 환경에서 소통되는 언어 자료를 분석하여 사회적 담론이 형성되는 과정과 소통 맥락을 탐구하고 이를 바탕으로 사회적 담론을 비판적으로 읽어 내는 안목을 기르기 위해 설정하였다. 광고 언어나 보도 언어 등의 소통 맥락과 언어적 특성을 살펴 ‘누가,’ ‘어떻게’, ‘무엇’을 말하고 있는지, 더 나아가 무엇을 숨기고 있거나 당연한 것으로 전제하고 있는지 등을 파악함으로써, 사회적 담론이 형성되는 맥락과 과정을 탐구한다. 방송, 신문과 같은 전통적인 대중 매체뿐만 아니라 사회 관계망 서비스(SNS), 인터넷 커뮤니티 등 인터넷을 기반으로 소통되는 언어 자료를 탐구하되, 사회적 담론에 대해 비판적이고도 균형적인 시각을 형성할 수 있도록 다양한 사례를 탐구한다.</t>
  </si>
  <si>
    <t>[12언탐01-06]</t>
  </si>
  <si>
    <t>품격 있는 언어생활의 특성을 이해하고 공공 언어 사용의 실제를 탐구한다.</t>
  </si>
  <si>
    <t>이 성취기준은 품격 있는 언어생활의 중요성을 이해하고 공공 언어가 사용되는 실제를 탐구하여 바람직한 언어문화를 주도하는 능력을 기르기 위해 설정하였다. 정부 및 공공기관에서 사회 구성원을 대상으로 사용하는 언어를 주요 탐구 대상으로 하되, 개인의 언어 역시 맥락에 따라 공공성을 가질 수 있음을 인지하고 이를 탐구하도록 한다. 비속어, 욕설 등의 저속한 표현이나 차별⋅혐오 표현, 상황 맥락에 따른 구어 표현과 문어 표현, 청자 혹은 독자의 이해를 돕거나 방해하는 표현 등의 특징을 분석하고, 정확성과 적절성, 소통성, 품격 등을 중심으로 공공 언어 사용의 실제를 탐구한다.</t>
  </si>
  <si>
    <t>[12언탐01-07]</t>
  </si>
  <si>
    <t>언어가 우리 삶에서 담당하는 역할을 이해하고, 주체적⋅능동적으로 바람직한 언어문화를 실천한다.</t>
  </si>
  <si>
    <t>[9도01-01]</t>
  </si>
  <si>
    <t>자신의 삶과 가치관에 대한 성찰을 통해 자아를 올바로 이해하고, 삶에서 도덕이 필요한 이유에 근거하여 도덕적인 삶에 대한 의지를 기른다.</t>
  </si>
  <si>
    <t>[9도01-02]</t>
  </si>
  <si>
    <t>일상에서 발생하는 부도덕한 행동의 여러 원인을 분석하고, 도덕적 인격이 갖추어야 할 특성들을 파악하여 이를 내면화하는 의지를 기른다.</t>
  </si>
  <si>
    <t>이 성취기준의 취지는 일상의 부도덕한 행동들이 옳고 그름을 분별하지 못하는 무지뿐만 아니라 자기정당화 기제를 포함한 도덕 심리학적 원인에서 비롯될 수 있음을 파악하고, 이러한 부도덕한 행동의 원인을 극복한 훌륭한 인격자의 도덕적 특성들을 탐구함으로써 도덕적 인격이 갖춰야 할 도덕성의 구성요소를 내면화하는 의지를 기르는 것이다.</t>
  </si>
  <si>
    <t>[9도01-03]</t>
  </si>
  <si>
    <t>행복에 관한 심리적, 사회적, 윤리적 접근 등을 통해 행복의 의미를 종합적으로 파악하고, 삶의 목적과 행복의 관계를 정립할 수 있다.</t>
  </si>
  <si>
    <t>[9도01-04]</t>
  </si>
  <si>
    <t>옳고 그름을 분별할 수 있는 도덕적 기준을 탐구하고, 도덕적 상상력을 바탕으로 일상의 도덕 문제들에 도덕적 추론을 적용할 수 있다.</t>
  </si>
  <si>
    <t>이 성취기준의 취지는 동양과 서양의 주요한 규범윤리 이론들을 탐구하고, 일상의 도덕적 문제 상황에서 상대방의 감정에 공감하면서 다양한 대안을 탐색하는 도덕적 상상력과 도덕원리와 법칙에 근거하여 도덕 판단을 도출하는 도덕적 추론능력을 기르는 것이다.</t>
  </si>
  <si>
    <t>[9도01-05]</t>
  </si>
  <si>
    <t>삶의 유한함에 관한 성찰을 통해 생명의 소중함과 의미 있는 삶의 중요성을 인식하고, 자신의 미래 모습을 상상하며 삶을 계획하고 이를 실천하는 의지를 기른다.</t>
  </si>
  <si>
    <t>[9도01-06]</t>
  </si>
  <si>
    <t>내면에 대한 성찰을 통해 심리적 고통과 불안, 우울감 등의 원인을 찾고, 마음의 평온을 얻을 수 있는 방안들을 다각적으로 모색하여 실천할 수 있다.</t>
  </si>
  <si>
    <t>이 성취기준의 취지는 학생들이 경험하는 정신적 혼란과 심리적 스트레스의 다양한 원인을 파악하고, 이를 극복하는 데 도움이 되는 방법들을 익힘으로써 자기 관리 및 조절 능력과 회복탄력성을 기르고 진정한 마음의 평화를 얻는 것이다.</t>
  </si>
  <si>
    <t>[9도01-07]</t>
  </si>
  <si>
    <t>삶에서 직업이 갖는 의미와 가치를 파악하며, 사례 탐구를 통해 직업적 양심과 직업윤리의 필요성을 정당화할 수 있다.</t>
  </si>
  <si>
    <t>이 성취기준의 취지는 학생들이 직업의 가치를 개인적, 사회적 측면에서 탐색하고, 직업적 양심과 직업윤리의 중요성을 파악함으로써 자신이 희망하는 진로와 직업 세계의 직업윤리를 구성하는 것이다.</t>
  </si>
  <si>
    <t>[9도02-01]</t>
  </si>
  <si>
    <t>정서적, 배려적 공동체로서 가정의 특성과 도덕적 기능을 파악하고, 가정에서 발생하는 갈등을 공감적인 소통과 민주적인 과정을 통해 해소하는 의지를 기른다.</t>
  </si>
  <si>
    <t>[9도02-02]</t>
  </si>
  <si>
    <t>친구의 의미와 가치를 삶의 맥락 속에서 탐구하고, 서로를 인격적으로 존중하는 친구 관계를 상상하며 이를 실현하는 의지를 기른다.</t>
  </si>
  <si>
    <t>[9도02-03]</t>
  </si>
  <si>
    <t>가상공간과 현실 세계에 대한 비교⋅분석을 바탕으로 가상공간에서 발생하는 도덕 문제들의 원인과 해결 방안을 제안하고, 타인을 존중하며 가상공간을 활용하는 태도를 함양한다.</t>
  </si>
  <si>
    <t>이 성취기준의 취지는 학생들이 삶에서 접하는 다양한 유형의 가상공간이 지니는 특성들을 현실 세계와 비교하여 분석하고, 이를 바탕으로 가상공간에서 일어나는 도덕적 문제의 원인과 해결 방안을 탐구하도록 하는 것이다. 이를 통해 일상화된 가상공간을 올바로 활용할 수 있는 디지털 문해력의 함양을 지향하는 것이다.</t>
  </si>
  <si>
    <t>[9도02-04]</t>
  </si>
  <si>
    <t>인간을 관계적 존재로 해석할 수 있는 이유에 근거하여 타인과의 관계에서 필요한 가치⋅덕목을 탐구하고, 타인의 생각과 감정에 공감하는 태도를 기른다.</t>
  </si>
  <si>
    <t>이 성취기준의 취지는 학생들이 인간을 관계적 존재로 보는 동양과 서양의 윤리적 관점에 근거하여 자신이 맺고 있는 다양한 관계에서 필요한 도덕적 가치와 덕목들을 탐구하고, 그러한 가치와 덕목들에 근거하여 자신의 삶을 성찰하도록 하는 것이다. 이를 통해 타인의 생각과 감정을 공유하며 협력할 수 있는 공감 능력의 함양을 지향하는 것이다.</t>
  </si>
  <si>
    <t>[9도02-05]</t>
  </si>
  <si>
    <t>다양한 갈등 상황을 평화적으로 해결할 수 있는 방안을 모색하고, 폭력의 유형과 원인, 결과에 대한 분석을 바탕으로 일상의 폭력 상황에 대한 대처 능력을 기른다.</t>
  </si>
  <si>
    <t>[9도02-06]</t>
  </si>
  <si>
    <t>청소년기의 바람직한 성윤리를 탐구하여 내면화하고, 사회⋅문화적 차원에서 성의 의미를 파악하여 성에 대한 편견의 문제점을 분석하고 이를 바로잡는 의지를 기른다.</t>
  </si>
  <si>
    <t>[9도03-01]</t>
  </si>
  <si>
    <t>인권을 존중해야 하는 도덕적 이유를 정당화하고, 인권 침해 사례에 대한 탐구를 통해 그 원인과 해결 방안을 도출함으로써 인권 감수성을 기른다.</t>
  </si>
  <si>
    <t>[9도03-02]</t>
  </si>
  <si>
    <t>외집단에 대한 편견을 비판적으로 분석하고, 타문화⋅타종교⋅타인종을 존중해야 하는 이유에 근거하여 차이와 다양성에 대한 열린 마음을 기른다.</t>
  </si>
  <si>
    <t>이 성취기준의 취지는 학생들이 다양한 사례를 통해 외집단에 대한 편견을 분석함으로써 암묵적인 내집단 편향을 비판적으로 인식하고, 우리 사회가 다문화사회로 진입하고 있다는 점을 바탕으로 다문화 가족, 이주 노동자, 난민 등과 관련하여 우리 사회가 직면한 문제들을 탐구함으로써 타인종, 타문화, 타종교를 인정하고 존중하며 그들을 환대하는 태도를 기르는 것이다.</t>
  </si>
  <si>
    <t>[9도03-03]</t>
  </si>
  <si>
    <t>북한에 대한 이해를 바탕으로 분단의 문제점을 분석하고, 도덕적 가치에 기초하여 통일의 의미를 재구성함으로써 바람직한 남북관계 및 통일의 방향을 제안할 수 있다.</t>
  </si>
  <si>
    <t>[9도03-04]</t>
  </si>
  <si>
    <t>정의로운 사회를 상상해보고, 이를 실현할 수 있는 정의의 원칙과 제도에 대한 다양한 의견들을 민주적인 방식으로 종합할 수 있다.</t>
  </si>
  <si>
    <t>[9도03-05]</t>
  </si>
  <si>
    <t>국가와 시민 사이에서 발생하는 윤리적 쟁점들을 탐구하고, 국가와 시민 사이의 바람직한 관계에 기초하여 국가와 시민의 역할을 재구성할 수 있다.</t>
  </si>
  <si>
    <t>[9도03-06]</t>
  </si>
  <si>
    <t>인류의 고통에 공감하며 지구적 차원의 다양한 도덕 문제들을 탐구하고, 해결 방안을 모색하여 실천하는 자세를 갖는다.</t>
  </si>
  <si>
    <t>[9도03-07]</t>
  </si>
  <si>
    <t>현대 과학기술과 관련된 윤리적 쟁점의 분석을 통해 과학기술의 유용성과 한계를 인식하고, 과학기술의 바람직한 활용에 관한 관심과 책임 의식을 기른다.</t>
  </si>
  <si>
    <t>이 성취기준의 취지는 학생들이 인공지능, 유전자 변형, 생명공학을 활용한 인간 향상, 빅데이터 등 현대 과학기술의 발전으로 인해 새롭게 등장하는 윤리적 쟁점을 예측하고, 이에 대한 해결책을 찾는 탐구와 토론을 수행함으로써 과학기술의 윤리적 사용을 위해 갖추어야 할 바람직한 태도와 윤리적 책임감을 함양하는 것이다.</t>
  </si>
  <si>
    <t>[9도04-01]</t>
  </si>
  <si>
    <t>인간 이외의 생명체를 도덕적으로 고려해야 하는 이유를 정당화하고, 생명을 가진 존재들이 겪는 고통에 공감하며 생명을 소중히 여기는 태도를 기른다.</t>
  </si>
  <si>
    <t>이 성취기준의 취지는 학생들이 가정에서 동물을 돌보거나 식물을 가꾸어 본 경험을 바탕으로 인간 이외의 생명체를 그 자체로 존중해야 하는 도덕적 이유를 추론해보고, 인간 이외의 생명체들이 겪는 고통과 위험에 민감하게 반응하며 생명을 소중히 여기는 태도를 기르는 것이다.</t>
  </si>
  <si>
    <t>[9도04-02]</t>
  </si>
  <si>
    <t>자연에 대한 동양과 서양의 주요 입장들을 토대로 인간과 자연의 바람직한 관계를 도출하고, 환경 위기에 대한 윤리적 책임을 구체화하여 실천할 수 있다.</t>
  </si>
  <si>
    <t>[12현윤01-01]</t>
  </si>
  <si>
    <t>윤리학의 성격과 특징을 바탕으로 윤리적 존재로서의 인간 본성을 이해하고, 현대사회의 다양한 윤리 문제를 탐구 및 토론할 수 있다.</t>
  </si>
  <si>
    <t>[12현윤01-02]</t>
  </si>
  <si>
    <t>동양 및 서양의 윤리사상, 사회사상의 접근들을 비교 분석하고, 이를 현대사회의 다양한 윤리 문제와 쟁점에 적용하여 윤리적 해결 방안을 도출할 수 있다.</t>
  </si>
  <si>
    <t>이 성취기준의 취지는 학생들에게 현대 생활에서 발생하는 문제와 쟁점에 적용할 수 있는 윤리적 탐구의 밑바탕을 마련하도록 하는 것이다. 이를 위해 동양 윤리, 서양 윤리, 사회사상을 비교 분석하도록 한다. 또한 현대과학의 발전에 따른 도덕과학적 접근을 비판적으로 탐구하여 인간의 도덕성에 대한 이해의 폭을 넓히도록 한다.</t>
  </si>
  <si>
    <t>[12현윤02-01]</t>
  </si>
  <si>
    <t>삶과 죽음을 동⋅서양 윤리의 입장에서 성찰하고, 현대사회에서 발생하는 생명윤리 문제를 다양한 윤리적 관점에서 설명할 수 있다.</t>
  </si>
  <si>
    <t>이 성취기준의 취지는 삶과 죽음, 생명과 관련된 윤리문제에 대해 동⋅서양의 다양한 윤리 이론을 학습하고 적용하여 자신의 관점을 정립하고, 관련 윤리 문제를 비판적으로 성찰하여 올바른 윤리관을 형성하는 것이다. 학생들은 학습 과정에서 삶과 죽음에 대한 다양한 윤리 문제를 인식하고, 이에 대한 여러 윤리적 입장을 비교 분석하여, 인공임신중절⋅자살⋅안락사⋅뇌사⋅유전자 복제 및 치료의 과정에서 발생하는 윤리 문제를 자신이 채택한 윤리적 관점으로 설명할 수 있어야 한다.</t>
  </si>
  <si>
    <t>[12현윤02-02]</t>
  </si>
  <si>
    <t>사랑과 성에 관한 다양한 입장과 성차별의 윤리적 문제를 이해하고, 현대사회의 결혼 및 가족 문제를 윤리적 관점에서 탐구할 수 있다.</t>
  </si>
  <si>
    <t>[12현윤02-03]</t>
  </si>
  <si>
    <t>자연을 바라보는 동⋅서양의 관점을 비교⋅설명할 수 있으며 오늘날 환경 문제의 사례와 심각성을 조사하고, 이에 대한 윤리적 해결 방안을 제시할 수 있다.</t>
  </si>
  <si>
    <t>[12현윤03-01]</t>
  </si>
  <si>
    <t>과학기술 연구에 대한 다양한 관점을 조사하여 비교⋅설명할 수 있으며 이를 과학기술의 사회적 책임 문제에 적용하여 비판 또는 정당화할 수 있다.</t>
  </si>
  <si>
    <t>[12현윤03-02]</t>
  </si>
  <si>
    <t>정보통신 기술과 뉴미디어의 발달에 따른 윤리 문제들을 제시할 수 있으며 이에 대한 해결 방안을 정보윤리와 미디어 윤리의 관점에서 제시할 수 있다.</t>
  </si>
  <si>
    <t>[12현윤03-03]</t>
  </si>
  <si>
    <t>윤리적인 인공지능을 위하여 인간과 인공지능의 관계를 설명하고, 인공지능으로 인해 발생하는 윤리 문제의 해결 방안을 인공지능 윤리의 관점에서 제시할 수 있다.</t>
  </si>
  <si>
    <t>이 성취기준의 취지는 윤리적인 인공지능의 개발과 활용을 위하여 인간과 인공지능의 관계에 대한 다양한 입장을 이해하고 국내외에서 발표된 인공지능 윤리 가이드라인에서 강조되는 책임성, 투명성, 편향성 등의 문제를 해결할 수 있는 윤리적 실천 방안을 탐구하도록 하는 것이다. 학생들은 인공지능기술의 발달이 초래할 수 있는 윤리 문제들을 제시하고, 그러한 문제를 해결하기 위한 방안을 인공지능 윤리의 관점에서 제시할 수 있어야 한다.</t>
  </si>
  <si>
    <t>[12현윤04-01]</t>
  </si>
  <si>
    <t>직업의 의의와 다양한 직업군에 따른 직업윤리를 제시할 수 있으며 공동체 발전을 위한 청렴한 삶과 노동의 가치에 대한 사회적 존중의 필요성을 설명할 수 있다.</t>
  </si>
  <si>
    <t>[12현윤04-02]</t>
  </si>
  <si>
    <t>개인선과 공동선의 조화가 필요한 이유를 설명할 수 있으며, 시민의 정치참여 필요성과 시민불복종의 조건 및 정당성을 제시할 수 있다.</t>
  </si>
  <si>
    <t>이 성취기준의 취지는 학생들이 민주시민이 갖추어야 할 바람직한 시민성을 학습하여 자유주의적 관점에서 강조되는 개인의 행복이나 자아실현과 같은 개인선과 공동체주의적 관점에서 강조되는 공동체를 위한 선인 공동선의 조화가 중요함을 인식하도록 하는 것이다. 또한 민주주의의 발전을 위해 시민의 정치참여가 필요하며, 부당한 국가권력의 지배에 항거하는 시민불복종의 조건과 정당성을 학습하여 성숙한 시민의식을 마련하는 데 있다.</t>
  </si>
  <si>
    <t>[12현윤04-03]</t>
  </si>
  <si>
    <t>공정한 분배를 이루기 위한 정책을 분배 정의 이론을 통해 비판 또는 정당화할 수 있으며, 사형 제도와 형벌을 교정적 정의의 관점에서 비판 또는 정당화할 수 있다.</t>
  </si>
  <si>
    <t>[12현윤05-01]</t>
  </si>
  <si>
    <t>미적 가치와 윤리적 가치를 예술과 도덕의 관계 차원에서 설명할 수 있으며 현대의 대중문화의 순기능과 역기능을 윤리적 관점에서 이해하고 성찰할 수 있다.</t>
  </si>
  <si>
    <t>[12현윤05-02]</t>
  </si>
  <si>
    <t>의식주 생활과 관련된 윤리 문제와 경제생활에서 발생하는 도덕적 선과 이윤 추구 사이의 갈등 및 소비문화의 문제점을 윤리적 관점에서 비판할 수 있다.</t>
  </si>
  <si>
    <t>이 성취기준의 취지는 첫째, 의식주 생활과 관련된 다양한 사상적 입장을 이해하여 삶에서 의식주가 갖는 의미를 주체적으로 성찰하는 데 있다. 둘째, 도덕적 선과 이윤 추구 사이의 딜레마나 쟁점을 이해하고 건전한 경제생활의 토대가 되는 사회적 자본의 중요성을 탐구하는 것이다. 셋째, 현실 및 가상 간에서 과시 소비나 기호 소비 등으로 인해 발생할 수 있는 현대 소비문화의 문제점을 윤리적 관점에서 탐구하고 비판하는 것이다.</t>
  </si>
  <si>
    <t>[12현윤05-03]</t>
  </si>
  <si>
    <t>다문화 이론을 통해 문화의 다양성을 존중해야 할 필요성을 인식하고 종교 갈등, 이주민 차별 등과 같은 다문화 관련 문제의 해결 방안을 제시할 수 있다.</t>
  </si>
  <si>
    <t>[12현윤06-01]</t>
  </si>
  <si>
    <t>다양한 사회적 갈등의 양상을 제시하고 동⋅서양의 윤리 이론을 바탕으로 사회통합을 위한 방안을 제안할 수 있으며, 바람직한 소통과 담론을 실천할 수 있다.</t>
  </si>
  <si>
    <t>[12현윤06-02]</t>
  </si>
  <si>
    <t>한반도의 통일과 평화에 관한 쟁점을 객관적으로 이해하고, 보편적인 윤리적 가치를 바탕으로 남북한의 화해를 위한 개인적⋅국가적 노력을 구체적으로 제시할 수 있다.</t>
  </si>
  <si>
    <t>[12현윤06-03]</t>
  </si>
  <si>
    <t>국제 사회의 윤리 문제를 국제 정의의 관점에서 비판적으로 설명하고, 국제 사회에 대한 책임과 기여를 윤리적 관점에서 정당화하고 실천 방안을 제시할 수 있다.</t>
  </si>
  <si>
    <t>이 성취기준의 취지는 국제 사회에서 발생하는 분쟁, 난민, 빈곤 등의 문제에 국제 정의의 관점을 적용하여 비판적으로 설명할 수 있도록 하는 것이다. 특히 해외 원조와 같은 국제 사회에 대한 책임과 기여 문제를 만민법, 세계시민주의 등의 입장에서 탐구하고 윤리적인 실천 방안을 제시하는 것이다.</t>
  </si>
  <si>
    <t>[12윤사01-01]</t>
  </si>
  <si>
    <t>공자사상에 바탕하여 맹자와 순자, 주희와 왕수인의 인성론을 비교하고, 인간 본성의 입장에 따른 윤리적 삶의 목표 및 방법론의 차이와 그 의의를 파악할 수 있다.</t>
  </si>
  <si>
    <t>이 성취기준의 취지는 공자를 계승한 맹자와 순자, 주희와 왕수인의 윤리사상을 탐구함으로써, 성선설과 성악설, 성즉리와 심즉리가 대립된 주장처럼 보이지만 이들 주장 모두 인간 본성에 대한 이해를 바탕으로 도덕법칙의 근거와 도덕적 완성을 위한 방법론을 정립하고자 하는 동일한 문제의식에서 제시된 것임을 이해하게 하는 데 있다. 이를 통해 양자택일적 사고방식을 지양하고, 자기 입장과 다른 사상에 대해서 보다 열린 태도를 지니며 융합적인 사고 능력을 발휘할 수 있도록 한다.</t>
  </si>
  <si>
    <t>[12윤사01-02]</t>
  </si>
  <si>
    <t>노자의 유무상생⋅무위자연 사상과 장자의 소요유⋅제물론의 의의를 이해하고, 서로 다른 것들 간의 어울림을 통한 진정한 평화에 대해 성찰할 수 있다.</t>
  </si>
  <si>
    <t>[12윤사01-03]</t>
  </si>
  <si>
    <t>불교의 사성제와 자비를 이해하고, 괴로움을 극복하는 방법을 실천할 수 있다.</t>
  </si>
  <si>
    <t>[12윤사02-01]</t>
  </si>
  <si>
    <t>원효의 화쟁사상, 의천과 지눌의 선⋅교 통합 사상이 불교의 대립을 어떻게 화해시켰는지 탐구하고, 한국불교의 특성과 통합정신의 중요성을 파악할 수 있다.</t>
  </si>
  <si>
    <t>이 성취기준의 취지는 원효의 화쟁사상과 의천과 지눌의 선⋅교 통합 사상의 주요 내용과 특징을 탐구하여 한국 불교의 회통적이고 통합적인 성격을 인식함으로써, 우리 민족의 정신적 주요 특성을 파악하는 데 있다. 한국불교의 특성을 지식으로 이해하는 데 머물지 않고 한국 불교의 개방적이고 포용적인 성격을 우리 민족의 정신적 특성과 관련하여 탐구하고, 이를 통해 다름과 차이의 조화가 오늘날 다원주의적 사회에서 지니는 의의를 성찰할 수 있도록 한다.</t>
  </si>
  <si>
    <t>[12윤사02-02]</t>
  </si>
  <si>
    <t>도덕 감정의 발현 과정에 대한 퇴계와 율곡의 주장을 그 이유와 함께 비교⋅고찰하고, 일상의 감정을 도덕적으로 조절하는 방법을 제시할 수 있다.</t>
  </si>
  <si>
    <t>[12윤사02-03]</t>
  </si>
  <si>
    <t>남명과 하곡, 다산의 사상을 통해 앎과 함의 관계에 대하여 성찰하고, 윤리적 실천 방안을 제안하여 실행할 수 있다.</t>
  </si>
  <si>
    <t>[12윤사03-01]</t>
  </si>
  <si>
    <t>서양 윤리사상의 출발점에서 나타난 보편윤리, 영혼의 조화, 성품의 탁월성의 특징을 파악하고, 덕과 행복의 관계에 대하여 성찰할 수 있다.</t>
  </si>
  <si>
    <t>[12윤사03-02]</t>
  </si>
  <si>
    <t>행복 추구에 대한 쾌락주의와 금욕주의의 입장을 비교하여 고찰하고, 진정한 행복을 위한 윤리적 실천 방법을 제시할 수 있다.</t>
  </si>
  <si>
    <t>[12윤사03-03]</t>
  </si>
  <si>
    <t>그리스도교의 사랑의 윤리로서의 특징을 파악하고, 자연법 윤리 및 프로테스탄티즘 윤리에 나타난 신앙과 윤리의 관계를 성찰할 수 있다.</t>
  </si>
  <si>
    <t>[12윤사03-04]</t>
  </si>
  <si>
    <t>옳고 그름의 기준에 대한 의무론과 결과론을 비교⋅분석하고, 옳고 그름에 대한 윤리적 관점을 정당화할 수 있다.</t>
  </si>
  <si>
    <t>[12윤사03-05]</t>
  </si>
  <si>
    <t>실존주의와 실용주의, 도덕의 기원과 판단에 관한 과학적 탐구를 비판적으로 평가하고, 책임⋅배려 윤리에 대한 이해를 바탕으로 윤리적 삶의 의미와 지향을 설정할 수 있다.</t>
  </si>
  <si>
    <t>이 성취기준의 취지는 윤리적 삶에 대한 인간의 오랜 지적 여정을 이해함으로써 윤리적 삶의 의미와 지향에 대하여 성찰하도록 하는 데 있다. 또한 이 성취기준은 서양 윤리사상을 관통하고 있는 핵심 물음이자 주제라 할 수 있는 ‘좋은 삶과 옳은 행위에 대한 탐구’가 현대의 윤리에서 어떻게 전개되어왔는가를 이해하도록 한다는 점에서 서양 윤리사상 영역의 종합이자 마무리로서 의미가 있다. 이를 위해 현대적 윤리 논의로서 실존주의와 실용주의, 도덕성과 윤리 문제에 대한 과학적 접근(예를 들어, 진화심리학이나 신경윤리학)의 가능성과 한계를 살펴본 후, 책임⋅배려윤리에 대한 이해를 바탕으로 윤리적 삶에 대해 성찰하도록 한다.</t>
  </si>
  <si>
    <t>[12윤사04-01]</t>
  </si>
  <si>
    <t>동⋅서양의 다양한 국가관을 비교⋅고찰하고, 오늘날의 관점에서 국가의 역할과 정당성에 대한 체계적인 시각을 형성할 수 있다.</t>
  </si>
  <si>
    <t>[12윤사04-02]</t>
  </si>
  <si>
    <t>시민의 자유와 권리, 공적 삶과 정치참여에 대한 자유주의와 공화주의의 관점을 비교⋅고찰하고, 시민과 공동체의 바람직한 관계를 모색할 수 있다.</t>
  </si>
  <si>
    <t>[12윤사04-03]</t>
  </si>
  <si>
    <t>근대 대의민주주의의 대안으로 등장한 참여민주주의와 심의민주주의의 장단점을 분석하고, 민주주의의 이상을 구현하기 위한 실천 방법을 제시할 수 있다.</t>
  </si>
  <si>
    <t>이 성취기준의 취지는 민주주의의 이상을 구현하기 위해 대의제의 한계를 보완하고 시민의 참여와 심의를 실현하는 방법을 탐구하도록 하는 데 있다. 이를 위해 참여가 사익 추구 수단으로 오용되지 않고, 심의가 정보 불균형으로 왜곡되지 않도록 하는 방안을 생각해보도록 한다. 이를 통해 시민의 도덕성과 정보의 균형에 기초한 참여와 심의의 중요성을 인식하고 시민으로서의 실천 의지를 형성하도록 한다.</t>
  </si>
  <si>
    <t>[12윤사04-04]</t>
  </si>
  <si>
    <t>자본주의의 현실적 기여와 한계에 대해 조사⋅분석하고, 동⋅서양의 사회사상적 측면에서 자본주의의 개선 방향에 관해 탐구할 수 있다.</t>
  </si>
  <si>
    <t>[12인윤01-01]</t>
  </si>
  <si>
    <t>내 몸과 마음의 관계를 탐구하고, 심신의 통합성을 자각하여 도덕적 주체로서 자신을 이해하고 존중할 수 있다.</t>
  </si>
  <si>
    <t>이 성취기준에서는 󰡔격몽요결󰡕을 중심으로 하되 󰡔코스모스󰡕를 연계함으로써, 학생들이 자신의 몸과 마음의 관계를 탐구하여 심신이 유기적으로 통합되어 있음을 알 수 있도록 한다. 몸과 마음의 습관을 돌아봄으로써 도덕적 주체인 나에 대해 구체적으로 알아갈 수 있다. 이 성취기준은 자신과의 건강한 관계 맺기 및 도덕적 사고력과 판단력을 기르는 데 초점을 둔다.</t>
  </si>
  <si>
    <t>[12인윤01-02]</t>
  </si>
  <si>
    <t>삶의 주체인 나에 대한 성찰을 바탕으로 고통과 쾌락의 근원 및 양상을 탐구하여, 고통과 쾌락에 지혜롭게 대처하는 자세를 갖출 수 있다.</t>
  </si>
  <si>
    <t>이 성취기준에서는 󰡔쾌락󰡕을 중심으로 하되 󰡔숫타니파타󰡕를 연계함으로써, 학생들이 자신의 내면을 들여다보고 성찰하여 스스로를 이해하고 존중하는 도덕적 주체로서 살아갈 수 있도록 한다. 고통과 쾌락의 근원 및 양상을 탐구함으로써, 자신과 타인의 내면에 대해 보다 깊이 있게 이해할 수 있다. 이 성취기준은 자신과의 건강한 관계 맺기 및 올바른 자기 인식과 주도성을 기르는 데 초점을 둔다.</t>
  </si>
  <si>
    <t>[12인윤02-01]</t>
  </si>
  <si>
    <t>관계 속에서 살아가는 나에 대한 성찰을 통해 상호성을 만끽하는 삶을 모색하고 실천할 수 있다.</t>
  </si>
  <si>
    <t>이 성취기준에서는 󰡔금강경󰡕을 중심으로 하되 󰡔정의론󰡕을 연계함으로써, 학생들이 다양한 관계 속에서 상호의존적인 삶을 살아가는 자신(나)을 성찰할 수 있도록 한다. 관계 맺기가 왜 어려운지 고민하고, 관계 속에서 살아가는 나에 대한 성찰 및 다양한 관계 맺기를 통해 펼쳐지는 삶의 양상들을 탐구할 수 있다. 이 성취기준은 도덕적 주체로서의 자기인식 및 타인과 관계 맺기 역량을 기르는 데 초점을 둔다.</t>
  </si>
  <si>
    <t>[12인윤02-02]</t>
  </si>
  <si>
    <t>우정과 사랑의 의미를 탐구하고, 행복한 삶의 기반인 진정한 우정과 참된 사랑의 관계를 형성하기 위해 노력할 수 있다.</t>
  </si>
  <si>
    <t>이 성취기준에서는 󰡔논어󰡕를 중심으로 하되 󰡔니코마코스 윤리학󰡕을 연계함으로써, 학생들이 청소년기에 큰 영향을 주는 진정한 우정과 참된 사랑을 경험하고 내면화할 수 있도록 한다. 의미 있는 타자인 친구 및 인간관계의 근본이 되는 참된 사랑의 의미에 대해 탐구하여, 바람직하고 행복한 관계망을 형성하는 실천 방법을 제시할 수 있다. 이 성취기준은 도덕적 감성 및 더불어 살아가는 능력을 기르는 데 초점을 둔다.</t>
  </si>
  <si>
    <t>[12인윤03-01]</t>
  </si>
  <si>
    <t>동⋅서양에서 바라보는 자유와 평등의 의미와 근거를 알고, 자유롭고 평등한 사람의 모습을 탐구하여 책임 있는 삶의 자세를 추구할 수 있다.</t>
  </si>
  <si>
    <t>이 성취기준에서는 󰡔장자󰡕를 중심으로 하되 󰡔윤리형이상학 정초󰡕를 연계함으로써, 학생들이 인간은 자유롭고 평등하다는 근거를 밝히고 자유와 평등이 구현된 삶의 모습을 구체적으로 탐구하여, 자신과 타인을 존중하는 마음을 내면화할 수 있도록 한다. 자유인이 갖추어야 할 책임 있는 자세는 상호주관적인 자유를 추구하는 것임을 알고, 이를 실천하는 방법을 모색할 수 있다. 이 성취기준은 성찰적 사고와 비판적 사고를 기르는 데 초점을 둔다.</t>
  </si>
  <si>
    <t>[12인윤03-02]</t>
  </si>
  <si>
    <t>불평등이 발생하는 원인 및 실질적 기회균등을 구현하기 위한 조건을 탐구하여, 자유롭고 평등한 삶을 위한 정의의 원칙을 도출할 수 있다.</t>
  </si>
  <si>
    <t>이 성취기준에서는 󰡔정의론󰡕*을 중심으로 하되 󰡔순자󰡕를 연계함으로써, 학생들이 불평등의 발생 원인과 문제점을 탐구하여 실질적 기회균등이 보장되는 정의로운 사회를 만들어갈 수 있도록 한다. 능력에 따른 분배와 다양한 기회균등의 양상을 분석하는 과정에서, 학생들은 정의에 대한 균형 있는 관점을 갖추고 자유와 평등이 실질적으로 보장되는 조건을 제시할 수 있다. 이 성취기준은 더불어 살아가는 능력을 기르는 데 초점을 둔다. ＊은 다영역 고전 표시(이하 동일)</t>
  </si>
  <si>
    <t>[12인윤04-01]</t>
  </si>
  <si>
    <t>서로 다른 의견들이 발생하고 충돌하는 양상과 이유를 파악하고, 민주적인 방식으로 다양한 의견을 포용하는 방법과 절차를 모색하여 실천할 수 있다.</t>
  </si>
  <si>
    <t>이 성취기준에서는 󰡔자유론󰡕을 중심으로 하되 󰡔논어󰡕*를 연계함으로써, 학생들이 민주주의 사회에서 서로 다른 의견들이 발생하고 충돌하는 양상과 이유를 탐구하고, 다양한 의견을 포용하는 방법과 절차를 모색할 수 있도록 한다. 의견의 불일치는 다양성을 만들어내는 원천이 될 수 있음을 알고, 민주적이며 합리적인 의사소통의 방법과 절차를 배우고 실천할 수 있다. 이 성취기준은 포용성과 협력적 의사소통 능력을 기르는 데 초점을 둔다.</t>
  </si>
  <si>
    <t>[12인윤04-02]</t>
  </si>
  <si>
    <t>가상세계와 현실세계의 같고 다른 점이 무엇인지 탐구하고, 가상세계에서도 자신과 타인을 존중하는 자세를 갖출 수 있다.</t>
  </si>
  <si>
    <t>이 성취기준에서는 󰡔스노 크래시󰡕를 중심으로 하되 󰡔장자󰡕*를 연계함으로써, 학생들이 가상세계와 현실세계의 삶이 서로 영향을 주고받음을 인식하고, 가상세계에서도 자신과 타인을 존중하는 태도를 내면화할 수 있도록 한다. 가상세계와 현실세계는 경계가 모호하지만 긴밀히 연결되어 있음을 이해하고, 통합적 관점으로 자아를 바라볼 수 있다. 이 성취기준은 성찰적 사고와 디지털 시민성을 기르는 데 초점을 둔다.</t>
  </si>
  <si>
    <t>[12인윤05-01]</t>
  </si>
  <si>
    <t>자아실현과 직업생활의 상호성을 이해하고, 삶의 방식으로서 소유와 존재의 의미를 탐구하여 나와 타인의 이익을 조화롭게 추구하는 삶의 태도를 함양할 수 있다.</t>
  </si>
  <si>
    <t>이 성취기준에서는 󰡔목민심서󰡕를 중심으로 하되 󰡔우리는 여전히 삶을 사랑하는가󰡕를 연계함으로써, 학생들이 물질주의와 고립된 개인주의라는 삶의 태도에 대해 성찰하여 바람직한 삶의 자세를 모색할 수 있도록 한다. 삶의 방식으로서 소유와 존재의 의미를 이해하여, 자아실현과 직업생활의 관계 및 나와 타인의 이익 고려 문제에 대해 탐구할 수 있다. 이 성취기준은 타인과 조화로운 관계 맺기 및 실존적인 삶의 자세를 갖도록 하는 데 초점을 둔다.</t>
  </si>
  <si>
    <t>[12인윤05-02]</t>
  </si>
  <si>
    <t>기후위기 문제를 비판적으로 인식하고, 지속가능한 삶을 위해 인간과 자연에 대한 이분법적 관점을 넘어선 상생의 원칙들을 수립하여 일상에서 실천할 수 있다.</t>
  </si>
  <si>
    <t>이 성취기준에서는 󰡔침묵의 봄󰡕을 중심으로 하되 󰡔노자󰡕를 연계함으로써, 학생들이 기후위기와 생태계 파괴를 절박한 윤리적 문제로 인식하여 지속가능한 삶을 위한 실천 방안을 탐구할 수 있도록 한다. 비판적 성찰 과정을 통해 기후위기 문제의 원인을 파악하고, 친환경적인 삶의 자세를 일상에서 내면화하는 노력을 할 수 있다. 이 성취기준은 도덕적 공동체 역량 및 도덕적 앎을 행동으로 옮길 수 있는 실천 동기를 기르는 데 초점을 둔다.</t>
  </si>
  <si>
    <t>[12인윤06-01]</t>
  </si>
  <si>
    <t>인간의 불완전성에 대한 성찰을 바탕으로 불안한 현대사회를 살아가는 데 있어 종교의 역할과 가치를 탐구하여, 종교에 대한 바람직한 관점을 정립할 수 있다.</t>
  </si>
  <si>
    <t>이 성취기준에서는 󰡔신약󰡕⋅󰡔꾸란󰡕을 중심으로 하되 󰡔세계윤리 구상󰡕 및 󰡔성과 속󰡕을 연계함으로써, 학생들이 불안한 현대인들의 삶에서 종교의 역할과 가치를 탐구하여 종교에 대한 올바른 관점과 태도를 정립할 수 있도록 한다. 인간의 불완전성에 대한 자각을 토대로 현대사회의 불안 요인을 분석하고, 종교가 불완전성과 불안을 극복하는 대안으로 기능할 수 있는가에 관해 비판적으로 탐구할 수 있다. 이 성취기준은 비판적 성찰 및 다른 종교에 대한 포용성을 기르는 데 초점을 둔다.</t>
  </si>
  <si>
    <t>[12인윤06-02]</t>
  </si>
  <si>
    <t>인생의 유한성을 자각하고, 자아에 대한 성찰 및 다양한 가치 탐색을 통하여 내 삶의 의미를 묻고 답을 찾아가는 도덕적 주체로서 살아갈 수 있다.</t>
  </si>
  <si>
    <t>이 성취기준에서는 󰡔수심결󰡕을 중심으로 하되 󰡔실존주의는 휴머니즘이다󰡕를 연계함으로써, 학생들이 인문학적 소양의 함양에 있어 삶의 유한성에 대한 자각이 중요함을 인식하고, 인생 전체가 지향하는 가치와 목적에 대해 탐색하여 삶의 의미를 찾는 방법을 탐구할 수 있도록 한다. 학생들은 ‘유한한 시간 속에서 나는 어떤 삶을 살 수 있을까?’라고 스스로 묻고, 그 해답을 발견하기 위해 고민할 수 있다. 이 성취기준은 학생들이 도덕적 탐구와 윤리적 성찰을 지속적으로 실천하는 도덕적 주체로서 삶을 살아가도록 하는 데 초점을 둔다.</t>
  </si>
  <si>
    <t>[12윤탐01-01]</t>
  </si>
  <si>
    <t>삶에서 경험하는 문제를 사실문제와 윤리문제로 구분할 수 있고, 윤리문제에 대한 규범적 가치 판단의 기준이 다양함을 이해할 수 있다.</t>
  </si>
  <si>
    <t>[12윤탐01-02]</t>
  </si>
  <si>
    <t>윤리문제 탐구의 의미를 파악하고, 윤리문제 탐구의 다양한 방법들을 이해할 수 있다.</t>
  </si>
  <si>
    <t>이 성취기준의 취지는 윤리문제를 탐구하는 것의 의미를 이해하고 윤리문제를 탐구하는 다양한 방법들을 익히는 데 있다. 윤리문제 탐구는 윤리문제에 대한 도덕적 추론과 판단, 정서적 공감과 내면화, 실천적 요소 등을 포함하며, 윤리문제 탐구 방법에는 가치갈등, 가치분석, 콜버그 딜레마 토론, 도덕이야기, 역할놀이 등이 있다.</t>
  </si>
  <si>
    <t>[12윤탐02-01]</t>
  </si>
  <si>
    <t>행복의 의미와 행복에 대한 뇌과학의 연구 성과를 조사하고, 윤리적 삶과 행복의 관계를 탐구할 수 있다.</t>
  </si>
  <si>
    <t>이 성취기준의 취지는 윤리적 삶과 행복한 삶의 지향점이 일치한다는 사실을 깨닫는 데 있다. 인간의 행복에 대한 최근 뇌과학에서의 연구 성과를 조사하고, 행복의 의미와 조건들을 분석하며 진정한 행복을 위해 요구되는 윤리적 가치와 태도의 소중함을 깨닫는 데 중점을 둔다.</t>
  </si>
  <si>
    <t>[12윤탐02-02]</t>
  </si>
  <si>
    <t>사생활 존중과 공익 사이의 갈등 사례를 조사하고, 이를 해결할 수 있는 방안을 제시할 수 있다.</t>
  </si>
  <si>
    <t>[12윤탐02-03]</t>
  </si>
  <si>
    <t>사회적 차별 표현 사례를 조사하고, 이를 바라보는 다양한 관점을 이해하여 윤리적 해결 방안을 제시할 수 있다.</t>
  </si>
  <si>
    <t>이 성취기준의 취지는 사회에 만연한 사회적 차별과 증오 표현의 문제를 인격권 존중과 표현의 자유 보장이라는 관점에서 탐구하여 해결 방안을 모색하는 데 있다. 사회적 차별 표현의 사례를 조사하고, 사회적 차별 표현 문제를 바라보는 다양한 관점을 이해하여 공동체 구성원의 존엄성을 보장하는 해결 방안을 찾는 데 중점을 둔다.</t>
  </si>
  <si>
    <t>[12윤탐02-04]</t>
  </si>
  <si>
    <t>배타적 민족주의의 확산과 난민 문제를 탐구하고, 이를 해결할 수 있는 방안을 제시할 수 있다.</t>
  </si>
  <si>
    <t>[12윤탐03-01]</t>
  </si>
  <si>
    <t>메타버스의 특징을 윤리적 관점에서 탐색하고, 메타버스에서 발생할 수 있는 윤리문제의 해결 방안을 제시할 수 있다.</t>
  </si>
  <si>
    <t>[12윤탐03-02]</t>
  </si>
  <si>
    <t>빅데이터와 알고리즘의 편향성으로 인한 윤리문제를 인식하고 사회적 책임과 공정성의 관점에서 해결 방안을 탐구할 수 있다.</t>
  </si>
  <si>
    <t>[12윤탐03-03]</t>
  </si>
  <si>
    <t>인공지능 활용 시 발생할 수 있는 윤리적 딜레마에 대해 토의하고, 인공지능의 바람직한 활용 방안을 제시할 수 있다.</t>
  </si>
  <si>
    <t>이 성취기준의 취지는 인공지능 기술이 다양한 분야에 광범위하게 적용되면서 발생할 수 있는 윤리적 딜레마에 대해 토의하여 올바른 활용 방안을 제시하는 데 있다. 교육, 법률, 의료 등에서 인공지능 기술이 활용되면서 발생할 수 있는 다양한 문제 사례를 조사⋅분석해서 인공지능 기술의 바람직한 활용 방안을 마련하고 실천하는 데 중점을 둔다.</t>
  </si>
  <si>
    <t>[12윤탐04-01]</t>
  </si>
  <si>
    <t>반려동물과 관련한 윤리문제, 동물 복지를 둘러싼 논쟁 등을 윤리적 관점에서 탐구하여 생명에 대한 감수성을 길러 책임 있게 행동할 수 있다.</t>
  </si>
  <si>
    <t>[12윤탐04-02]</t>
  </si>
  <si>
    <t>기후위기를 인류의 책임이라는 측면에서 분석하고, 에너지 전환과 탄소 중립을 둘러싼 다양한 입장에 대해 토론하여 기후위기 극복 방안을 제시할 수 있다.</t>
  </si>
  <si>
    <t>이 성취기준의 취지는 기후변화를 지속가능한 삶의 관점에서 인식하고 기후위기 극복 방안을 토의하여 실천하는 데 있다. 기후변화의 의미와 특징, 기후위기와 인류의 책임, 기후변화가 생태계에 미치는 영향 등을 과학적이고 윤리적인 관점에서 다각적으로 탐구하여 탄소 중립을 위한 에너지 전환 노력의 의미를 이해하고 실천하도록 하는 데 중점을 둔다.</t>
  </si>
  <si>
    <t>[12윤탐05-01]</t>
  </si>
  <si>
    <t>자신이 희망하는 진로에서 발생할 수 있는 윤리문제를 선정하고 탐구 계획을 수립할 수 있다.</t>
  </si>
  <si>
    <t>이 성취기준의 취지는 학습자 스스로가 자신의 진로와 관련된 윤리문제를 선정하고 다양한 윤리문제 탐구 방법을 활용해 자기주도적으로 탐구 계획을 수립하도록 하는 데 있다. 윤리문제를 선정할 때에는 사실관계의 분석뿐만 아니라 문제에 내포된 규범적 요소들을 분석하고, 탐구 계획을 수립할 때부터 해결 방안의 실현 가능성 여부를 고려하도록 한다.</t>
  </si>
  <si>
    <t>[12윤탐05-02]</t>
  </si>
  <si>
    <t>수립한 탐구 계획에 따라 윤리문제를 탐구하고 그 결과를 정리하여 발표할 수 있다.</t>
  </si>
  <si>
    <t>[9역01-01]</t>
  </si>
  <si>
    <t>역사와 역사 탐구의 의미를 파악하고, 역사 학습의 목적을 다각도로 탐색한다.</t>
  </si>
  <si>
    <t>역사의 의미를 ‘과거의 사실’이나 ‘기록된 과거’에 한정하지 않고, 학습자가 일상에서 접하는 역사의 활용 사례를 포함하여 탐구하고, 학습자의 삶의 맥락에서 역사 학습을 의미화하는 데 초점을 둔다.</t>
  </si>
  <si>
    <t>[9역01-02]</t>
  </si>
  <si>
    <t>다양한 자료와 사례를 통해 역사 탐구 방법을 익힌다.</t>
  </si>
  <si>
    <t>역사를 탐구하는 과정과 방법을 기초적 수준에서 이해하기 위해 설정하였다. 문자, 비문자 자료 등 역사 자료의 종류와 특징을 이해하고, 자료에 대한 분석⋅해석을 토대로 논쟁을 경험하도록 한다. 고려의 성립과 변천⋅고려의 성립⋅고려의 정치적 변동과 대외 관계⋅원 간섭기 고려 사회의 변동과 개혁⋅고려의 문화와 교류조선의 성립과 발전⋅조선의 성립⋅사림의 성장과 성리학적 질서의 확산⋅왜란과 호란조선 사회의 변동⋅왜란과 호란 이후 체제의 재정비⋅조선 후기 문화의 변화⋅조선 후기 사회 모순과 대응근⋅현대 사회로의 전환⋅근대 국가 수립을 위한 노력⋅국권 피탈과 극복⋅민주주의의 발전⋅지속가능한 사회를 위한 과제</t>
  </si>
  <si>
    <t>[9역02-01]</t>
  </si>
  <si>
    <t>선사 문화 및 문명의 형성을 이해하고, 각 문명의 특징을 비교한다.</t>
  </si>
  <si>
    <t>[9역02-02]</t>
  </si>
  <si>
    <t>서아시아⋅지중해 세계에서 등장한 여러 정치체를 비교하고 종교 및 문화를 탐구한다.</t>
  </si>
  <si>
    <t>페르시아와 그리스, 로마 등 다양한 정치체(폴리스, 제국, 왕국 등)를 통치 체제(민주정, 공화정, 제정) 상의 다양성에 따라 비교하면서 각각의 특징을 파악한다.</t>
  </si>
  <si>
    <t>[9역02-03]</t>
  </si>
  <si>
    <t>중국과 인도의 정치적 변화와 종교⋅사상 성립의 관계를 이해하고, 유라시아의 상호 교류를 탐색한다.</t>
  </si>
  <si>
    <t>[9역03-01]</t>
  </si>
  <si>
    <t>수⋅당 시기 동아시아 국제 질서의 특징을 이해하고, 동아시아 문화를 탐구한다.</t>
  </si>
  <si>
    <t>[9역03-02]</t>
  </si>
  <si>
    <t>인도, 서아시아, 지중해에서 진행된 정치적 변동 과정과 각 종교의 특징 및 영향을 파악한다.</t>
  </si>
  <si>
    <t>유라시아 각지의 정치⋅종교적 변동을 사산 왕조 페르시아 및 굽타 왕조의 등장, 서로마 제국의 소멸과 비잔티움 제국의 발전, 이슬람 세계의 성장을 중심으로 파악한다.</t>
  </si>
  <si>
    <t>[9역03-03]</t>
  </si>
  <si>
    <t>크리스트교 세계의 정치와 종교의 상관성을 이해하고, 이슬람 세계와 크리스트교 세계의 충돌 및 교류의 결과를 탐구한다.</t>
  </si>
  <si>
    <t>9세기 이후 서유럽 세계의 권력 세분화와 교황권의 성장을 연관 지어 이해하고 지중해 지역에서 이루어진 크리스트교 세계와 이슬람 세계 간의 충돌과 교류를 탐구한다.</t>
  </si>
  <si>
    <t>[9역04-01]</t>
  </si>
  <si>
    <t>송과 몽골 제국 시기 유라시아⋅인도양 교역권의 성장을 경제⋅문화 자료를 통해 탐구한다.</t>
  </si>
  <si>
    <t>[9역04-02]</t>
  </si>
  <si>
    <t>명⋅청, 에도 막부, 무굴 제국의 정치⋅사회 변화를 비교한다.</t>
  </si>
  <si>
    <t>아시아 국가들이 고유한 방식으로 정치⋅사회적 발전을 이루었음을 파악하기 위해 설정하였다. 명⋅청, 에도 막부, 무굴 제국의 통치 체제 정비, 산업 및 문화의 발전에 초점을 맞춘다.</t>
  </si>
  <si>
    <t>[9역04-03]</t>
  </si>
  <si>
    <t>오스만 제국의 성장과 유럽 사회의 근대적 변화를 조사한다.</t>
  </si>
  <si>
    <t>서아시아에서 지중해에 걸친 오스만 제국의 성장과 통합 정책을 탐구하고, 신항로 개척 및 세계 교역망 확립이 초래한 결과를 유럽뿐 아니라 유럽 이외 지역의 관점에서 종합적으로 이해한다. 또한 종교개혁 이후 등장한 재정⋅군사 국가의 특징을 파악한다.</t>
  </si>
  <si>
    <t>[9역05-01]</t>
  </si>
  <si>
    <t>시민 혁명을 국민 국가 형성과 연결하여 파악하고, 역사적 의의와 한계를 탐구한다.</t>
  </si>
  <si>
    <t>미국 혁명과 프랑스 혁명 과정에서 인권과 민주주의에 입각한 새로운 정치 체제의 확립 시도가 이루어졌음을 이해하고, 혁명이 아이티 등 라틴 아메리카의 여러 나라에 끼친 영향을 파악한다. 이후 인권과 참정권의 실질적인 확대를 위해 서양 각국에서 전개된 여러 정치적 움직임을 파악하고, 이 과정에서 나타난 다양한 국민 국가 건설 노력을 비교한다.</t>
  </si>
  <si>
    <t>[9역05-02]</t>
  </si>
  <si>
    <t>서양의 산업화와 제국주의 정책을 이해하고, 사회와 생태환경에 미친 영향을 분석한다.</t>
  </si>
  <si>
    <t>산업화를 기술적⋅경제적 발전과 풍요의 관점뿐 아니라 자본주의의 등장, 국민 국가의 형성과 맞물려 제국주의적 팽창과 침략으로 연결되는 과정으로 이해하고, 그 영향을 국가적⋅세계적 차원 및 생태환경적 관점에서 파악한다.</t>
  </si>
  <si>
    <t>[9역05-03]</t>
  </si>
  <si>
    <t>제국주의 열강의 침략에 대한 아시아의 대응 및 국민 국가 건설 노력을 이해하고, 그 성과와 한계를 평가한다.</t>
  </si>
  <si>
    <t>청, 무굴 제국, 오스만 제국, 일본 등에서 전개된 반제국주의 운동, 국민 국가 건설 운동의 특징을 비교하는 데 주안점을 둔다.</t>
  </si>
  <si>
    <t>[9역06-01]</t>
  </si>
  <si>
    <t>20세기 전반 세계 질서의 변화를 두 차례의 세계 대전을 중심으로 파악한다.</t>
  </si>
  <si>
    <t>두 차례의 세계 대전을 파악하는 데 있어 서양 열강 간 경쟁과 대립, 러시아 혁명과 서유럽 각국의 민주주의 확대, 세계 대공황의 충격과 전체주의(파시즘, 나치즘, 군국주의)의 등장을 중점적으로 이해하도록 한다.</t>
  </si>
  <si>
    <t>[9역06-02]</t>
  </si>
  <si>
    <t>세계 대전 중의 전쟁 범죄를 탐구하고, 인권 회복과 평화 실현을 위한 노력을 조사한다.</t>
  </si>
  <si>
    <t>[9역06-03]</t>
  </si>
  <si>
    <t>아시아⋅아프리카 지역의 민족 운동을 이해하고, 그 특징을 비교한다.</t>
  </si>
  <si>
    <t>두 차례 세계 대전 전후의 민족 운동을 민족주의, 사회주의의 세계적 확산과 관련하여 파악하는 데에 중점을 둔다.</t>
  </si>
  <si>
    <t>[9역07-01]</t>
  </si>
  <si>
    <t>냉전의 전개와 제3 세계 등장의 상관관계를 이해하고, 냉전 이후 국제 질서의 변화를 분석한다.</t>
  </si>
  <si>
    <t>[9역07-02]</t>
  </si>
  <si>
    <t>20세기 후반 민주주의와 인권의 신장을 위한 노력에 관심을 갖는다.</t>
  </si>
  <si>
    <t>20세기 후반에 전개된 반전 평화 운동, 민권 운동, 여성 운동, 환경 운동 등의 의미를 학습자 삶과의 연계성을 고려하여 파악하고, 제기되는 과제의 해결 방안을 모색한다.</t>
  </si>
  <si>
    <t>[9역07-03]</t>
  </si>
  <si>
    <t>오늘날 세계화의 양상을 조사하고, 성과와 과제를 탐구한다.</t>
  </si>
  <si>
    <t>20세기 후반 사회주의 진영이 붕괴된 이후, 세계화의 확산으로 인해 나타난 변화를 고찰하기 위해 설정하였다. 오늘날 세계화의 성과와 과제를 살피고, 문제 해결에 동참하는 자세를 갖는 데에 초점을 맞춘다.</t>
  </si>
  <si>
    <t>[9역08-01]</t>
  </si>
  <si>
    <t>고조선과 여러 나라의 형성 과정 및 사회 모습을 탐구한다.</t>
  </si>
  <si>
    <t>고조선의 성장과 멸망을 동아시아의 국제 관계 속에서 이해한다. 당시 사람들의 생활 모습이 담긴 자료를 분석하면서 고조선 멸망 전후에 등장한 여러 나라의 특징을 파악하는 데 초점을 둔다.</t>
  </si>
  <si>
    <t>[9역08-02]</t>
  </si>
  <si>
    <t>삼국과 가야의 성장 과정을 파악한다.</t>
  </si>
  <si>
    <t>[9역08-03]</t>
  </si>
  <si>
    <t>삼국과 가야가 남긴 문화의 특징을 분석한다.</t>
  </si>
  <si>
    <t>[9역09-01]</t>
  </si>
  <si>
    <t>삼국 통일의 과정을 동아시아 국제 정세의 맥락에서 이해하고, 통일신라와 발해 성립의 역사적 의의를 추론한다.</t>
  </si>
  <si>
    <t>삼국 통일의 과정을 동아시아의 국제 정세 속에서 파악하기 위해 설정하였다. 당시 국제 정세를 삼국 및 발해, 당과 일본뿐 아니라 거란, 말갈, 돌궐, 토번 등 다양한 세력과의 관계 속에서 이해하며, 통일신라와 발해 성립의 의미를 추론한다.</t>
  </si>
  <si>
    <t>[9역09-02]</t>
  </si>
  <si>
    <t>통일신라와 발해의 국가 체제 정비와 변동을 분석한다.</t>
  </si>
  <si>
    <t>[9역09-03]</t>
  </si>
  <si>
    <t>통일신라와 발해 문화의 특징을 파악한다.</t>
  </si>
  <si>
    <t>통일신라와 발해의 문화가 동아시아의 다양한 문화와의 상호 작용을 통해 형성되었음을 파악한다. 삼국의 문화를 바탕으로 한 통일신라 문화의 특징을 동아시아 문화의 관점에서 파악하고, 발해의 문화는 고구려, 당, 말갈 등의 문화가 어우러져 형성되었음을 이해한다.</t>
  </si>
  <si>
    <t>[9역10-01]</t>
  </si>
  <si>
    <t>후삼국 통일과 체제 정비 과정을 통해 고려 성립의 역사적 의미를 탐색한다.</t>
  </si>
  <si>
    <t>[9역10-02]</t>
  </si>
  <si>
    <t>고려의 정치적 변동을 파악하고 주변국과의 관계를 이해한다.</t>
  </si>
  <si>
    <t>[9역10-03]</t>
  </si>
  <si>
    <t>원 간섭기 고려 사회에 나타난 변화를 파악하고 개혁의 영향을 탐구한다.</t>
  </si>
  <si>
    <t>[9역10-04]</t>
  </si>
  <si>
    <t>고려의 문화유산과 대외 교류의 사례를 조사하여 그 특징을 파악한다.</t>
  </si>
  <si>
    <t>다양한 자료를 활용하여 고려의 문화가 가진 특징을 파악하고, 고려 시대 사람들의 삶을 종합적으로 이해한다. 송, 원을 비롯한 주변 세력과의 경제⋅문화적 대외 교류가 문화의 형성에 미친 영향을 파악한다.</t>
  </si>
  <si>
    <t>[9역11-01]</t>
  </si>
  <si>
    <t>조선 성립의 의의를 통치 체제의 특징을 통해 파악한다.</t>
  </si>
  <si>
    <t>[9역11-02]</t>
  </si>
  <si>
    <t>사림 세력의 성장이 성리학적 질서 확산에 끼친 영향을 추론한다.</t>
  </si>
  <si>
    <t>[9역11-03]</t>
  </si>
  <si>
    <t>왜란과 호란의 성격을 동아시아 국제 정세 속에서 분석한다.</t>
  </si>
  <si>
    <t>왜란과 호란을 동아시아 역사의 맥락 속에서 파악하도록 설정하였다. 명⋅청 교체, 에도 막부의 성립 등과의 관련성에 초점을 맞춘다.</t>
  </si>
  <si>
    <t>[9역12-01]</t>
  </si>
  <si>
    <t>왜란과 호란 이후 체제 재정비의 노력과 정치 변동의 모습을 파악한다.</t>
  </si>
  <si>
    <t>[9역12-02]</t>
  </si>
  <si>
    <t>조선 후기 문화에서 나타난 변화를 분석한다.</t>
  </si>
  <si>
    <t>[9역12-03]</t>
  </si>
  <si>
    <t>조선 후기 사회적 모순에 대한 여러 세력의 대응을 탐구한다.</t>
  </si>
  <si>
    <t>조선 후기 변동에 따른 사회적 모순을 살펴보고 이에 대한 여러 세력의 대응을 파악하도록 설정하였다. 세도정치의 폐단, 삼정의 문란 등으로 인한 농민 봉기, 흥선 대원군의 정책 등을 파악하는 데 초점을 맞춘다.</t>
  </si>
  <si>
    <t>[9역13-01]</t>
  </si>
  <si>
    <t>개항 이후 근대 국가를 건설하기 위한 노력을 파악한다.</t>
  </si>
  <si>
    <t>[9역13-02]</t>
  </si>
  <si>
    <t>국권 피탈 이후 전개된 민족 운동을 세계사적 관점에서 이해한다.</t>
  </si>
  <si>
    <t>[9역13-03]</t>
  </si>
  <si>
    <t>한국의 민주화 과정에서 나타난 성과와 과제를 탐구한다.</t>
  </si>
  <si>
    <t>정치적⋅경제적⋅사회적 민주화 양상을 포함하여 다양한 주체들의 노력으로 이루어진 사회 전반의 자유민주적 기본질서 정착과정과 과제를 탐구하는 데 초점을 둔다.</t>
  </si>
  <si>
    <t>[9역13-04]</t>
  </si>
  <si>
    <t>지속가능한 사회를 위한 과제를 역사적 맥락에서 탐구하고, 과제 해결에 참여하는 자세를 갖는다.</t>
  </si>
  <si>
    <t>한국의 통일 문제를 비롯하여 현대 세계가 겪고 있는 평화와 민주주의의 위기, 생태환경 위기, 전염병의 확산 등을 자신의 문제로 인식하는 태도를 길러 주기 위해 설정하였다. 현대 사회 문제의 원인과 해결 방안을 역사적 맥락에서 탐색하여 지속가능한 사회의 실현에 참여하는 태도의 함양에 초점을 둔다.</t>
  </si>
  <si>
    <t>[10한사1-01-01]</t>
  </si>
  <si>
    <t>고대 국가의 형성과 성장 과정을 파악한다.</t>
  </si>
  <si>
    <t>고조선을 비롯한 여러 고대 국가의 성립과 발전을 파악하기 위해 설정하였다. 아울러 한반도와 그 주변 지역의 선사 문화를 유적·유물을 통해 이해하고, 고대 국가 형성과 성장의 의미 및 특성을 파악하는데 초점을 맞춘다.</t>
  </si>
  <si>
    <t>[10한사1-01-02]</t>
  </si>
  <si>
    <t>고려의 통치 체제와 지배 세력의 변화를 이해한다.</t>
  </si>
  <si>
    <t>고려의 후삼국 통일과 통치 체제의 정비 과정에 대해 알고, 고려 성립의 역사적 의미를 파악하기 위해 설정하였다. 아울러 지배 세력의 변화를 시기별로 이해하여 고려 정치사의 흐름을 맥락적으로 파악하는 데 초점을 맞춘다.</t>
  </si>
  <si>
    <t>[10한사1-01-03]</t>
  </si>
  <si>
    <t>조선의 성립과 정치 운영의 변화를 파악한다.</t>
  </si>
  <si>
    <t>조선의 성립과 유교적 통치 체제의 정비, 정치 운영의 변화를 이해하기 위해 설정하였다. 아울러 왜란과 호란의 전개 과정 및 역사적 의미를 파악한다.</t>
  </si>
  <si>
    <t>[10한사1-01-04]</t>
  </si>
  <si>
    <t>조선 후기에 등장한 새로운 변화 양상을 이해한다.</t>
  </si>
  <si>
    <t>조선 후기 여러 분야에서 나타난 변화를 파악하기 위해 설정하였다. 흥선 대원군 집권기까지 조선 후기에 나타난 새로운 변화의 양상에 초점을 맞춘다.</t>
  </si>
  <si>
    <t>[10한사1-02-01]</t>
  </si>
  <si>
    <t>근대 이전 국제 관계와 대외 교류의 시대적 특징을 비교한다.</t>
  </si>
  <si>
    <t>근대 이전 국제 관계의 변화 양상과 대외 교류의 시대별 특징을 파악하기 위해 설정하였다. 근대 이전 시기 시대별로 다양한 형태의 외교적 갈등과 대립, 대외 교류 등이 이루어졌음을 파악하는 데 초점을 맞춘다.</t>
  </si>
  <si>
    <t>[10한사1-02-02]</t>
  </si>
  <si>
    <t>근대 이전의 수취 체제 변화를 농업 중심의 경제생활과 관련하여 탐구한다.</t>
  </si>
  <si>
    <t>근대 이전 수취 체제의 변화를 농업 중심의 경제생활과 연관하여 이해하기 위해 설정하였다. 각 국가의 수취 제도의 운영과 그것이 사람들의 삶에 미친 영향을 이해하는 데 초점을 맞춘다.</t>
  </si>
  <si>
    <t>[10한사1-02-03]</t>
  </si>
  <si>
    <t>근대 이전 사회 구조를 신분제를 중심으로 분석한다.</t>
  </si>
  <si>
    <t>근대 이전의 사회가 신분제에 기반하여 운영되었음을 파악하기 위해 설정하였다. 골품제, 양천제 등 신분제의 특징을 이해하고 신분제에 기반한 사회 구조를 파악하는 데 초점을 맞춘다.</t>
  </si>
  <si>
    <t>[10한사1-02-04]</t>
  </si>
  <si>
    <t>근대 이전의 사상과 문화를 국제 교류와 관련하여 탐구한다.</t>
  </si>
  <si>
    <t>근대 이전 시기의 사상과 문화가 지닌 특징을 탐구하기 위해 설정하였다. 불교와 유교를 중심으로 사상과 문화의 성격을 국제적인 문화 교류의 관점에서 탐구하는 데 초점을 맞춘다.</t>
  </si>
  <si>
    <t>[10한사1-02-05]</t>
  </si>
  <si>
    <t>근대 이전 한국사 주제를 설정하여 탐구하고, 그 결과를 다양한 방법으로 표현한다.</t>
  </si>
  <si>
    <t>근대 이전 한국사에 대한 이해를 바탕으로 쟁점적 주제를 선정하여 탐구하기 위해 설정하였다. 근대 이전 한국사를 둘러싸고 제기되는 역사 문제 등에 대해 질문을 구성하고 탐구하여 이를 표현하는 데 초점을 둔다.</t>
  </si>
  <si>
    <t>[10한사1-03-01]</t>
  </si>
  <si>
    <t>조선의 개항을 국제 질서의 변동과 연관하여 분석한다.</t>
  </si>
  <si>
    <t>[10한사1-03-02]</t>
  </si>
  <si>
    <t>여러 세력이 추진한 근대 국가 수립의 다양한 노력을 이해한다.</t>
  </si>
  <si>
    <t>근대 사회로의 전환을 둘러싼 여러 세력의 대응을 이해하기 위해 설정하였다. 근대 국가 수립 과정에서 일어난 정치 변동과 열강의 침략에 맞서 주권을 수호하고자 한 각계각층의 노력을 이해하는 데 초점을 맞춘다.</t>
  </si>
  <si>
    <t>[10한사1-03-03]</t>
  </si>
  <si>
    <t>개항 이후 사회⋅경제 변화를 파악하고, 서구 문물의 도입이 문화에 미친 영향을 탐구한다.</t>
  </si>
  <si>
    <t>개항 이후 나타난 사회⋅경제적 변동과 이에 대한 대응으로 일어난 사회⋅경제적 개혁 운동의 양상을 파악하고, 서구 문물의 도입으로 인한 문화 변동을 탐구하기 위해 설정하였다. 사회 개혁 운동 및 경제 주권 수호 운동의 특징과 흐름을 분석하고, 서구 문물의 수용 과정에서 나타난 문화 변동을 탐구하는 데 초점을 맞춘다.</t>
  </si>
  <si>
    <t>[10한사1-03-04]</t>
  </si>
  <si>
    <t>일제의 국권 침탈 과정을 조사하고, 이에 맞선 국권 수호 운동의 흐름을 파악한다.</t>
  </si>
  <si>
    <t>[10한사2-01-01]</t>
  </si>
  <si>
    <t>일제의 식민 통치 정책을 제국주의 질서의 변동과 연관하여 이해한다.</t>
  </si>
  <si>
    <t>[10한사2-01-02]</t>
  </si>
  <si>
    <t>일제의 식민 통치가 초래한 경제 구조의 변화와 그것이 경제생활에 미친 영향을 분석한다.</t>
  </si>
  <si>
    <t>일제의 식민 통치로 인해 식민지 경제 구조가 형성되는 과정을 살펴보고 그 변화가 사람들의 생활에 미친 경제적 영향을 분석하는 데 초점을 맞춘다.</t>
  </si>
  <si>
    <t>[10한사2-01-03]</t>
  </si>
  <si>
    <t>국내외에서 전개된 민족 운동의 흐름을 이해한다.</t>
  </si>
  <si>
    <t>[10한사2-01-04]</t>
  </si>
  <si>
    <t>일제의 식민 통치로 인한 사회 및 문화의 변화와 대중운동의 양상을 파악한다.</t>
  </si>
  <si>
    <t>일제의 식민 통치하에서 일어난 사회 및 문화 변동의 양상을 파악하고, 여러 분야에서 일어난 대중운동의 양상을 이해하기 위해 설정하였다. 일제강점기 사회 및 문화 변화를 일상생활의 변동과 연관 지어 파악하고 대중운동의 양상을 운동 주체별로 파악하는 데 초점을 둔다.</t>
  </si>
  <si>
    <t>[10한사2-01-05]</t>
  </si>
  <si>
    <t>일제의 침략 전쟁에 맞서 전개된 독립 국가 건설 운동의 양상을 분석한다.</t>
  </si>
  <si>
    <t>[10한사2-02-01]</t>
  </si>
  <si>
    <t>냉전 체제가 한반도 정세에 미친 영향을 파악하고, 자유민주주의에 기초한 대한민국 정부 수립 과정을 탐색한다.</t>
  </si>
  <si>
    <t>[10한사2-02-02]</t>
  </si>
  <si>
    <t>6⋅25 전쟁과 분단의 고착화 과정을 국내외의 정세 변화와 연관하여 이해한다.</t>
  </si>
  <si>
    <t>[10한사2-02-03]</t>
  </si>
  <si>
    <t>4⋅19 혁명에서 6월 민주 항쟁에 이르는 민주화 과정을 탐구한다.</t>
  </si>
  <si>
    <t>4⋅19 혁명에서 6월 민주 항쟁에 이르는 과정을 독재 정치에 대응한 국민적 저항과 관련된 민주주의의 시련과 발전이라는 관점에서 분석하도록 설정하였다. 다양한 주체들이 전개한 민주화의 노력을 이해하고 그것의 성과와 과제를 분석하는 데 초점을 맞춘다.</t>
  </si>
  <si>
    <t>[10한사2-02-04]</t>
  </si>
  <si>
    <t>산업화의 성과를 파악하고, 그것이 사회 및 환경에 미친 영향을 인식한다.</t>
  </si>
  <si>
    <t>산업화에 기반한 경제 성장과 그것이 사회 및 생태환경 등에 미친 영향을 파악하기 위해 설정하였다. 경제 성장을 위한 노력과 이에 따른 사회 문제와 환경 문제 등을 해결하기 위한 방안을 파악하는 데 초점을 맞춘다.</t>
  </si>
  <si>
    <t>[10한사2-02-05]</t>
  </si>
  <si>
    <t>사회⋅경제의 변화에 따른 문화 변동과 일상생활의 변화 사례를 조사한다.</t>
  </si>
  <si>
    <t>[10한사2-03-01]</t>
  </si>
  <si>
    <t>6월 민주 항쟁 이후 각 분야에서 전개된 민주화의 과정을 탐구한다.</t>
  </si>
  <si>
    <t>6월 민주 항쟁 이후 각 분야에서 전개된 민주화에 기반해 자유민주적 기본질서에 입각한 평화적 정권 교체가 정착되고 시민운동이 성장하는 과정에 초점을 맞춘다.</t>
  </si>
  <si>
    <t>[10한사2-03-02]</t>
  </si>
  <si>
    <t>외환 위기의 극복 과정을 이해하고, 사회와 문화의 변동을 파악한다.</t>
  </si>
  <si>
    <t>[10한사2-03-03]</t>
  </si>
  <si>
    <t>한반도 분단과 동아시아의 갈등을 극복하고 평화를 실현하기 위한 방안을 모색한다.</t>
  </si>
  <si>
    <t>한반도의 분단을 극복하고 동아시아 국가 간의 갈등을 해결하기 위한 노력을 파악하기 위해 설정하였다. 한반도 분단을 극복하기 위한 노력과 동아시아 영토 문제 및 역사 갈등 등을 파악하고 평화적인 해결 방안을 탐구하는 데 초점을 맞춘다.</t>
  </si>
  <si>
    <t>[10통사1-01-01]</t>
  </si>
  <si>
    <t>인간, 사회, 환경을 바라보는 시간적, 공간적, 사회적, 윤리적 관점의 의미와 특징을 사례를 통해 파악한다.</t>
  </si>
  <si>
    <t>에서는 인간과 세상을 이해하기 위해 역사적 배경과 시대적 맥락에 초점을 두는 시간적 관점, 장소와 지역 및 공간적 상호 작용에 중점을 두는 공간적 관점, 사회 구조 및 제도의 영향력에 초점을 두는 사회적 관점, 도덕적 가치와 규범을 고려하는 윤리적 관점 등을 다룬다.</t>
  </si>
  <si>
    <t>[10통사1-01-02]</t>
  </si>
  <si>
    <t>인간, 사회, 환경의 탐구에 통합적 관점이 요청되는 이유를 도출하고 이를 탐구에 적용한다.</t>
  </si>
  <si>
    <t>에서는 현대 사회의 불확실하고 복잡한 사회현상에 대처하기 위해 시간적, 공간적, 사회적, 윤리적 측면을 함께 고려하는 통합적 관점의 중요성을 이해하고, 구체적인 사례를 중심으로 이를 탐구하게 한다.</t>
  </si>
  <si>
    <t>[10통사1-02-01]</t>
  </si>
  <si>
    <t>시대와 지역에 따라 다르게 나타나는 행복의 기준을 사례를 통해 비교하여 평가하고, 삶의 목적으로서 행복의 의미를 성찰한다.</t>
  </si>
  <si>
    <t>에서는 시대적 상황과 지역적 여건 등에 따른 행복의 기준을 탐구하고, 이를 비교⋅평가함으로써 행복의 진정한 의미를 성찰할 수 있도록 한다.</t>
  </si>
  <si>
    <t>[10통사1-02-02]</t>
  </si>
  <si>
    <t>행복한 삶을 실현하기 위한 조건으로 질 높은 정주 환경의 조성, 경제적 안정, 민주주의 발전 및 도덕적 실천의 필요성에 관해 탐구한다.</t>
  </si>
  <si>
    <t>에서는 인간다운 삶을 누릴 수 있는 정주 환경의 조성과 삶의 질을 유지하기 위한 경제적 안정, 시민의 참여가 활성화되는 민주주의의 실현, 도덕적으로 행위하고 성찰하는 삶 등 행복한 삶을 실현하기 위한 조건들을 균형 있게 다루도록 한다.</t>
  </si>
  <si>
    <t>[10통사1-03-01]</t>
  </si>
  <si>
    <t>자연환경이 인간의 생활에 미치는 영향에 관한 과거와 현재의 사례를 조사하여 분석하고, 안전하고 쾌적한 환경에서 살아가는 것이 시민의 권리임을 주장한다.</t>
  </si>
  <si>
    <t>에서는 기후와 지형 등 자연환경에 따른 생활양식의 차이를 다루고, 자연환경의 변화로 인해 인간의 삶이 달라진 사례를 조사하여 원인 및 영향을 파악한다. 이를 토대로 안전하고 쾌적한 환경에서 살아가는 것이 시민에게 보장된 권리임을 인식하고, 실생활에서 실천할 수 있도록 한다.</t>
  </si>
  <si>
    <t>[10통사1-03-02]</t>
  </si>
  <si>
    <t>자연에 대한 인간의 다양한 관점을 사례를 통해 비교하고, 인간과 자연의 바람직한 관계를 제안한다.</t>
  </si>
  <si>
    <t>에서는 인간 중심주의와 생태 중심주의를 중심으로 자연에 대한 인간의 관점을 다루되, 구체적인 사례를 통해 두 관점을 비교하도록 한다. 이를 토대로 생태계 위기를 초래한 인간 사회의 모습을 성찰하고, 인간과 자연의 공존을 위한 노력에 대해 살펴보도록 한다.</t>
  </si>
  <si>
    <t>[10통사1-03-03]</t>
  </si>
  <si>
    <t>환경 문제 해결을 위한 정부, 시민사회, 기업 등의 다양한 노력을 조사하고, 생태시민으로서 실천 방안을 모색한다.</t>
  </si>
  <si>
    <t>에서는 국내외적으로 발생하는 환경 문제 해결을 위한 정부의 제도적 노력이나 시민단체들의 활동, 기업의 환경친화적 활동 등 다양한 실제 사례들을 조사하고, 생태전환적 사고를 바탕으로 다양한 환경 문제 해결에 연대하고 실천할 수 있는 생태시민의 자질을 함양하도록 한다.</t>
  </si>
  <si>
    <t>[10통사1-04-01]</t>
  </si>
  <si>
    <t>자연환경과 인문환경의 영향을 받아 형성된 다양한 문화권의 특징과 삶의 방식을 탐구한다.</t>
  </si>
  <si>
    <t>에서 문화권의 형성에 영향을 주는 요인으로 자연환경은 기후와 지형을, 인문환경은 종교와 산업에 초점을 두어 다룬다. 그리고 자연환경과 인문환경의 영향을 받아 형성된 다양한 문화권의 특징과 삶의 방식은 비교 문화의 관점에서 고찰하도록 한다.</t>
  </si>
  <si>
    <t>[10통사1-04-02]</t>
  </si>
  <si>
    <t>문화 변동의 다양한 양상을 이해하고, 현대 사회에서 전통문화가 지니는 의의를 탐색한다.</t>
  </si>
  <si>
    <t>에서는 문화 병존, 문화 융합, 문화 동화 등 문화 변동의 다양한 양상을 구체적인 사례를 통해 다루도록 하며, 현대 사회에서 전통문화에 대한 성찰을 토대로, 전통문화를 창조적으로 계승⋅발전시키기 위한 방안에 대해서도 언급한다.</t>
  </si>
  <si>
    <t>[10통사1-04-03]</t>
  </si>
  <si>
    <t>문화적 차이에 대한 상대주의적 태도의 필요성을 이해하고, 보편 윤리의 차원에서 자문화와 타문화를 평가한다.</t>
  </si>
  <si>
    <t>에서는 지역에 따라 문화적 차이가 나타나는 맥락을 파악하게 함으로써 문화 상대주의의 필요성을 인식할 수 있도록 한다. 또한 문화 상대주의가 극단적으로 흐르지 않도록 보편 윤리 차원에서 자문화와 타문화를 평가하도록 한다.</t>
  </si>
  <si>
    <t>[10통사1-04-04]</t>
  </si>
  <si>
    <t>다문화 사회의 현황을 조사하고, 문화적 다양성을 존중하는 태도를 바탕으로 갈등 해결 방안을 모색한다.</t>
  </si>
  <si>
    <t>에서는 현재 우리 사회에서 전개되고 있는 다문화 사회의 현황을 토대로 다문화 사회가 지니는 다양한 양상을 조명하도록 하며, 문화적 다양성 존중과 관련지어 갈등 해결 방안을 모색하도록 한다.</t>
  </si>
  <si>
    <t>[10통사1-05-01]</t>
  </si>
  <si>
    <t>산업화, 도시화로 인해 나타난 생활공간과 생활양식의 변화 양상을 조사하고, 이에 따른 문제점의 해결 방안을 제안한다.</t>
  </si>
  <si>
    <t>에서는 산업화와 도시화로 인해 나타난 생활공간의 변화 양상으로는 거주 공간, 생태환경 등의 변화를 다루며, 생활양식의 변화 양상은 도시성의 확산, 직업의 분화, 개인주의 가치관의 확산 등에 초점을 둔다. 그리고 산업화와 도시화로 인한 문제 해결 방안은 지역적 및 국가적 차원에서 모색하도록 한다.</t>
  </si>
  <si>
    <t>[10통사1-05-02]</t>
  </si>
  <si>
    <t>교통⋅통신 및 과학기술의 발달과 함께 나타난 생활공간과 생활양식의 변화 양상을 조사하고, 이에 따른 문제점의 해결 방안을 제안한다.</t>
  </si>
  <si>
    <t>에서는 교통 통신의 발달과 정보화 및 제4차 산업 혁명을 통해 나타나는 생활 공간의 확대, 생태환경의 변화, 생활양식의 변화를 중심으로 다룬다. 그리고 이러한 변화가 초래할 수 있는 지역 격차 및 정보 격차, 생태환경의 교란, 전염병의 확산, 노동시장의 양극화 등 새로운 사회문제들을 파악하고 이에 대한 해결 방안을 모색하도록 한다.</t>
  </si>
  <si>
    <t>[10통사1-05-03]</t>
  </si>
  <si>
    <t>자신이 거주하는 지역을 사례로 공간 변화가 초래한 양상 및 문제점을 탐구하고, 공동체의 구성원으로서 지역사회의 변화를 위한 방안을 모색하고 이를 실천한다.</t>
  </si>
  <si>
    <t>에서는 자신이 거주하는 지역의 토지 이용, 산업 구조, 직업, 인구, 인간관계, 생태환경, 주민의 가치관 변화 등을 중심으로 공간 변화가 초래한 양상을 탐구하도록 한다. 이 과정에서 공동체의 구성원으로서 지역이 당면한 문제를 인식하고 지역의 지속가능성을 고려하여 해결 방안을 모색하고 이를 실천하도록 한다.</t>
  </si>
  <si>
    <t>[10통사2-01-01]</t>
  </si>
  <si>
    <t>근대 시민 혁명 등을 통해 확립되어 온 인권의 의미와 변화 양상을 이해하고, 현대 사회에서 주거, 안전, 환경, 문화 등 다양한 영역으로 인권이 확장되고 있는 사례를 조사한다.</t>
  </si>
  <si>
    <t>에서는 인권의 의미가 역사 속에서 확장되어 온 과정과 그 결과로 변화된 것이 무엇인지 탐색하도록 한다. 그리고 현대 사회에서 주거, 안전, 환경, 문화 등의 영역에서 나타난 인권 확장의 대표적 사례들을 다루도록 한다.</t>
  </si>
  <si>
    <t>[10통사2-01-02]</t>
  </si>
  <si>
    <t>인간 존엄성 실현과 인권 보장을 위한 헌법의 역할을 파악하고, 시민의 권익을 보호하기 위한 다양한 시민 참여의 방안을 탐구하고 이를 실천한다.</t>
  </si>
  <si>
    <t>에서는 인권과 헌법의 관계, 인권 보장을 위해 헌법에 규정된 제도적 장치 등을 다루도록 한다. 시민의 권익 보호를 위해 시민불복종을 비롯한 시민 참여의 다양한 방안을 찾아보고, 일상생활 속에서 이를 실천할 수 있도록 한다.</t>
  </si>
  <si>
    <t>[10통사2-01-03]</t>
  </si>
  <si>
    <t>사회적 소수자 차별, 청소년의 노동권 등 국내 인권 문제와 인권지수를 통해 확인할 수 있는 세계 인권 문제의 양상을 조사하고, 이에 대한 해결 방안을 모색한다.</t>
  </si>
  <si>
    <t>에서는 성별, 연령, 인종, 국적, 장애 등을 이유로 차별 받는 사회 구성원 등을 사회적 소수자로 다룰 수 있으며, 청소년 노동권의 경우 청소년들이 노동을 하면서 작성하는 근로계약서 내용 등을 중심으로 관련 법규 및 침해 사례 등을 다룰 수 있다. 세계 인권 문제는 국제기구나 비정부 기구 등에서 발표하는 인권지수를 활용하여 세계 각 지역에서 나타나는 인권 문제의 양상과 해결 방안을 다루도록 한다.</t>
  </si>
  <si>
    <t>[10통사2-02-01]</t>
  </si>
  <si>
    <t>정의의 의미와 정의가 요구되는 이유를 파악하고, 다양한 사례를 통해 정의의 실질적 기준을 탐구한다.</t>
  </si>
  <si>
    <t>에서는 분배적 정의와 교정적 정의 등 정의의 다양한 의미를 분석하여, 우리 사회에 정의가 요청되는 이유를 파악한다. 특히 분배적 정의의 실질적 기준으로서 업적, 능력, 필요 등을 사회의 다양한 영역이나 분야의 사례에 적용함으로써 그 장단점을 다루도록 한다.</t>
  </si>
  <si>
    <t>[10통사2-02-02]</t>
  </si>
  <si>
    <t>개인과 공동체의 관계를 기준으로 다양한 정의관을 비교하고, 이를 구체적인 사례에 적용하여 설명한다.</t>
  </si>
  <si>
    <t>에서는 자유주의적 정의관과 공동체주의적 정의관을 바탕으로 개인의 권리와 공동체에 대한 의무, 사익과 공익(공동선) 등의 문제를 다루되, 두 정의관에 기초하여 다양한 지역별 현안, 제도나 정책 등을 평가하도록 한다.</t>
  </si>
  <si>
    <t>[10통사2-02-03]</t>
  </si>
  <si>
    <t>사회 및 공간 불평등 현상의 사례를 조사하고, 정의로운 사회를 만들기 위한 다양한 제도와 시민으로서의 실천 방안을 제안한다.</t>
  </si>
  <si>
    <t>에서는 사회 계층의 양극화, 공간 불평등, 사회적 약자에 대한 차별 등의 사례를 조사하여 원인을 분석하고, 이를 해결하기 위한 사회 복지 제도, 지역 격차 완화 정책, 적극적 평등 실현 조치 등과 같은 제도적 방안과 함께 개인이 시민으로서 실천할 수 있는 구체적인 방안을 다루도록 한다.</t>
  </si>
  <si>
    <t>[10통사2-03-01]</t>
  </si>
  <si>
    <t>자본주의의 역사적 전개 과정과 그 특징을 조사하고, 시장과 정부의 관계를 중심으로 다양한 삶의 방식을 비교 평가한다.</t>
  </si>
  <si>
    <t>에서는 자본주의의 역사적 전개 과정과 그 특징을 역사적 사건이나 사상가들의 주장을 통해 다루도록 하되, 그 과정에서 나타난 시장과 정부의 관계를 중심으로 한 다양한 삶의 방식, 특히 시장경제 체제와 계획경제 체제가 인간의 삶에 어떠한 영향을 미쳤는지를 학생들이 비교 평가하도록 한다.</t>
  </si>
  <si>
    <t>[10통사2-03-02]</t>
  </si>
  <si>
    <t>합리적 선택의 의미와 그 한계를 파악하고, 지속가능발전을 위해 요청되는 정부, 기업가, 노동자, 소비자의 바람직한 역할과 책임에 관해 탐구한다.</t>
  </si>
  <si>
    <t>에서는 합리적 선택의 의미와 합리적 선택의 한계로 인해 나타나는 시장 실패를 다루도록 하며, 지속가능발전을 위해 요청되는 경제 주체들의 역할과 책임과 관련해서는 정부의 역할, 기업가 정신, 기업의 사회적 책임, 노동자의 권익, 윤리적 소비 등에 대해서도 언급한다.</t>
  </si>
  <si>
    <t>[10통사2-03-03]</t>
  </si>
  <si>
    <t>금융 자산의 특징과 자산 관리의 원칙을 토대로 금융 생활을 설계하고, 경제적, 사회적 환경의 변화가 금융과 관련한 의사 결정에 미치는 영향을 탐구한다.</t>
  </si>
  <si>
    <t>에서는 금융 자산으로 예금, 채권, 주식 등을, 자산 관리의 원칙으로 수익성, 유동성, 안전성 등을 다루며, 이를 토대로 자신의 미래와 연관지어 금융 생활을 설계하도록 한다. 그리고 개인의 금융 의사 결정 과정에서 국내외 정치, 경제 상황 등과 관련 있는 거시적 변화 요인들이 영향을 미친다는 점을 이해하도록 한다.</t>
  </si>
  <si>
    <t>[10통사2-03-04]</t>
  </si>
  <si>
    <t>자원, 노동, 자본의 지역 분포에 따른 국제 분업과 무역의 필요성을 이해하고, 지속가능발전에 기여하는 국제무역의 방안을 탐색한다.</t>
  </si>
  <si>
    <t>에서는 자원, 노동, 자본 등의 지역적 분포의 차이 및 이에 따른 생산비의 차이로 국제 분업 및 무역이 발생하고 있음을 언급하도록 한다. 그리고 지속가능발전과 관련지어 오늘날 국제무역의 흐름을 평가하고, 이를 토대로 국제무역이 나아갈 방향을 다루도록 한다.</t>
  </si>
  <si>
    <t>[10통사2-04-01]</t>
  </si>
  <si>
    <t>세계화의 다양한 양상을 살펴보고, 세계화 시대의 문제점과 그에 대한 해결 방안을 제안한다.</t>
  </si>
  <si>
    <t>에서는 세계화와 지역화의 관계 파악, 세계도시의 형성과 다국적 기업의 등장에 따른 공간적⋅경제적 변화 등을 통해 세계화의 양상을 알아본다. 문화의 획일화와 소멸, 빈부 격차의 심화, 보편 윤리와 특수 윤리 간 갈등 등 세계화가 초래할 수 있는 문제점에 대한 해결 방안을 제안하도록 한다.</t>
  </si>
  <si>
    <t>[10통사2-04-02]</t>
  </si>
  <si>
    <t>평화의 관점에서 국제 사회의 갈등과 협력의 사례를 조사하고, 세계 평화를 위한 행위 주체의 바람직한 역할을 탐색한다.</t>
  </si>
  <si>
    <t>에서는 소극적 평화와 적극적 평화의 개념을 통해 평화의 소중함을 다루고, 평화의 관점에서 지구촌 곳곳의 갈등과 협력 사례를 조사하여 국가, 국제기구, 비정부 기구 등 행위 주체의 역할을 파악하도록 한다. 그리고 평화를 지속하기 위해 지구 공동체 일원으로서 갖추어야 할 세계시민의 역할을 탐색하도록 한다.</t>
  </si>
  <si>
    <t>[10통사2-04-03]</t>
  </si>
  <si>
    <t>남북 분단과 동아시아의 역사 갈등 상황을 분석하고, 이를 토대로 우리나라가 세계 평화에 기여할 수 있는 방안을 제안한다.</t>
  </si>
  <si>
    <t>에서는 남북 분단의 배경과 평화통일을 향한 노력, 동아시아의 역사 갈등 상황에 대한 분석과 그 해결 방안을 다룬다. 아울러 우리나라의 국제적 위상, 역사적 상황, 지정학적 위치 등을 고려하여 세계의 평화에 기여할 수 있는 방안을 제안하도록 한다.</t>
  </si>
  <si>
    <t>[10통사2-05-01]</t>
  </si>
  <si>
    <t>세계의 인구 분포와 구조 등에 대한 이해를 토대로 현재와 미래의 인구 문제 양상을 파악하고, 그 해결 방안을 제안한다.</t>
  </si>
  <si>
    <t>에서는 세계의 인구 분포와 구조, 인구 이동에 대한 자료를 분석하고, 저출생⋅고령화, 인구 과잉 등 지역별로 다양한 인구 문제가 나타나게 된 배경과 문제점을 파악하도록 한다. 그리고 우리 사회 또는 지역이 당면한 인구 문제를 고려하여 미래 세대의 지속가능한 삶을 위한 다양한 해결 방안을 살펴보도록 한다.</t>
  </si>
  <si>
    <t>[10통사2-05-02]</t>
  </si>
  <si>
    <t>지구적 차원에서 에너지 자원의 분포와 소비 실태를 파악하고, 기후변화에 대한 대응과 지속가능한 발전을 위한 제도적 방안과 개인적 노력을 탐구한다.</t>
  </si>
  <si>
    <t>에서는 화석에너지 자원 중심의 지구적 소비 실태를 비판적으로 이해하고 이에 대한 문제점 개선 방안을 탐색하도록 한다. 석유, 석탄, 천연가스 등의 자원 분포 및 소비 현황을 파악하고, 이로 인한 기후변화에 적극적인 대응이 필요함을 인식하도록 한다. 특히 경제, 환경, 사회적 측면을 고려하여 지속가능한 발전을 위한 제도적 방안과 개인적 노력을 다루도록 한다.</t>
  </si>
  <si>
    <t>[10통사2-05-03]</t>
  </si>
  <si>
    <t>미래 사회의 모습을 다양한 측면에서 예측하고, 이를 바탕으로 세계시민으로서 자신의 미래 삶의 방향을 설정한다.</t>
  </si>
  <si>
    <t>에서는 정치적, 경제적 문제에 따른 국가 간 협력과 갈등, 과학기술의 발전에 따른 공간과 삶의 변화, 생태환경의 변화 등 다양한 측면에서 미래 사회의 변화 양상을 예측하도록 한다. 이를 바탕으로 자신이 지역, 국가, 지구촌과 상호 연결된 세계시민이라는 점과 관련지어 자신의 미래 삶의 방향을 설정할 수 있도록 한다.</t>
  </si>
  <si>
    <t>[12세지01-01]</t>
  </si>
  <si>
    <t>세계화의 의미를 지리적 스케일에 따라 이해하고, 세계화와 지역화의 관계 속에서 세계시민의 역할을 탐색한다.</t>
  </si>
  <si>
    <t>은 세계화가 세계적, 국가적, 지역적 규모에서 다양한 주체의 역동적 상호 작용으로 나타나는 현상이라는 점을 이해할 수 있도록 설정된 것이다. 학습자들은 세계화에 대한 다중 스케일적 이해를 바탕으로 긴밀하게 연계된 현대 사회에서 세계시민의 역할을 탐색한다.</t>
  </si>
  <si>
    <t>[12세지01-02]</t>
  </si>
  <si>
    <t>지역 통합과 분리 현상의 사례와 주요 원인을 탐구하고, 이를 바탕으로 지역 변화의 역동성을 파악한다.</t>
  </si>
  <si>
    <t>는 세계화의 물결 속에서 언어, 종교, 민족 등에 따라 국가가 분리되거나 경제적 이익에 따라 경제 블록이 생겨나는 것처럼 지역이 사회적으로 구성되는 역동적 실체로 작동한다는 점을 파악하도록 설정된 것이다. 지역의 역동성에 대한 이해가 세계를 통찰력 있게 탐구하는 관점과 도구가 될 수 있다는 점을 인식할 수 있도록 한다.</t>
  </si>
  <si>
    <t>[12세지01-03]</t>
  </si>
  <si>
    <t>지리정보기술이 세계시민의 삶과 연계되는 다양한 모습을 이해하고, 지리적 문제 해결 및 의사 결정에 활용되는 사례를 조사한다.</t>
  </si>
  <si>
    <t>에서는 디지털 전환 시대에 지리정보기술이 세계시민의 일상생활 속 여러 분야에서 활용되는 모습을 알아보고, 인류 공동의 문제 해결이나 공간적 의사 결정 과정에 지리정보기술이 어떻게 기능할 수 있는지를 다양한 사례를 통해 탐구한다.</t>
  </si>
  <si>
    <t>[12세지02-01]</t>
  </si>
  <si>
    <t>세계의 다양한 기후에 대한 이해를 바탕으로 기후를 활용하거나 극복한 사례를 찾아 인간 생활과의 관계를 탐색한다.</t>
  </si>
  <si>
    <t>은 기후에 따라 특징적으로 나타나는 인간 생활의 모습을 살펴보고, 인간이 상호 작용하면서 적응하거나 극복해야 하는 기후 환경의 의미를 이해할 수 있도록 설정된 것이다. 기후와 인간 생활의 관계를 살펴볼 수 있는 다양한 사례를 조사하고 탐색한다.</t>
  </si>
  <si>
    <t>[12세지02-02]</t>
  </si>
  <si>
    <t>세계 주요 지형과 인간 생활의 상관성을 파악하고, 지형의 개발과 보존을 둘러싼 갈등 사례를 통해 지속가능한 이용 방안을 토론한다.</t>
  </si>
  <si>
    <t>는 지형과 인간 생활이 밀접하게 연계된다는 점을 이해하고, 지형 활용을 둘러싼 입장의 차이를 파악할 수 있도록 설정된 것이다. 주요 대지형이 인간의 삶에 영향을 미치는 양상에 주목하고, 세계적인 관광자원으로서 지형을 활용하는 방식을 두고 발생하는 갈등 사례를 탐구한다.</t>
  </si>
  <si>
    <t>[12세지02-03]</t>
  </si>
  <si>
    <t>세계 주요 종교의 특징 및 종교 경관의 의미를 이해하고, 각 종교가 인간 생활에 미치는 영향을 탐구한다.</t>
  </si>
  <si>
    <t>은 세계 각 지역의 문화와 경관에 많은 영향을 미치는 주요 종교의 특징과 종교 경관에 담긴 의미를 이해하기 위해 설정된 것이다. 특히, 각 종교가 인간 생활과 연계되는 방식에 주목하는 학습이 이루어질 수 있도록 한다.</t>
  </si>
  <si>
    <t>[12세지02-04]</t>
  </si>
  <si>
    <t>세계의 다양한 음식과 축제를 지리적으로 설명하고, 문화 다양성을 보존하기 위한 방법을 모색한다.</t>
  </si>
  <si>
    <t>에서는 세계의 음식과 축제를 자연 및 인문환경과 연계하여 설명하고, 세계화의 영향 속에서 각 지역이 고유한 문화와 세계화의 요소를 융합하여 음식과 축제 문화의 다양성을 보존하는 모습을 살펴본다.</t>
  </si>
  <si>
    <t>[12세지03-01]</t>
  </si>
  <si>
    <t>세계 인구 분포 및 구조를 통해 세계 인구 문제를 이해하고, 국제적 이주가 인구 유출 지역과 유입 지역에 미치는 영향을 탐구한다.</t>
  </si>
  <si>
    <t>은 세계 인구의 지역적 분포를 탐색하고 지역별 인구 구조의 차이를 파악하여, 이로 인해 발생하는 인구 문제를 이해할 수 있도록 설정되었다. 나아가 국제 이주의 유형을 살펴보고, 국제 이주가 유출 지역 및 유입 지역에 미치는 사회⋅경제적 영향을 탐구한다.</t>
  </si>
  <si>
    <t>[12세지03-02]</t>
  </si>
  <si>
    <t>주요 식량 자원의 생산과 소비 양상을 통해 세계 식량 문제가 발생하는 구조적 원인을 파악하고, 식량의 안정적인 생산과 공급을 위한 각국의 대응 전략을 비교⋅분석한다.</t>
  </si>
  <si>
    <t>는 식량 자원의 주요 생산지와 소비지가 다르다는 사실을 파악하고, 주요 곡물 기업의 생산 및 유통 시장 독점 현상을 통해 식량 문제의 구조적 원인을 설명할 수 있도록 설정된 것이다. 학습자들은 세계 식량 문제에 대한 인식을 바탕으로 안정적인 식량의 생산과 공급을 위한 각국의 다양한 정책을 비교⋅분석한다.</t>
  </si>
  <si>
    <t>[12세지03-03]</t>
  </si>
  <si>
    <t>초국적 기업을 중심으로 한 글로벌 경제 체제의 형성 과정을 탐색하고, 글로벌 경제에서의 공간적 불균등을 해소하기 위한 국제적 협력과 개인적 실천 방안에 대해 조사한다.</t>
  </si>
  <si>
    <t>에서는 초국적 기업의 분포, 글로컬 가치 사슬 개념을 통해 네트워크화된 현대 사회에서 초국적 기업이 글로벌 경제 체제 형성에 미치는 영향을 탐색하고, 세계화에 따른 경제 공간의 불균등 현상을 이해한다. 이를 바탕으로 글로벌 경제 체제의 구조적 불균등을 해소하기 위한 국제적 협력과 윤리적 소비와 같은 개인적 실천 방안에 대해 조사한다.</t>
  </si>
  <si>
    <t>[12세지04-01]</t>
  </si>
  <si>
    <t>세계 주요 에너지 자원의 생산과 소비 현황을 조사하고, 다양한 친환경 에너지원의 특징에 대한 이해를 바탕으로 지속가능한 에너지 생산 방안을 제시한다.</t>
  </si>
  <si>
    <t>에서는 주요 에너지원의 생산과 소비 현황을 조사하여 세계의 에너지 공급 및 소비 체계를 이해한다. 또한 지속가능한 에너지 생산을 위해 친환경 에너지원의 특성을 파악하고 지속가능한 에너지 생산 전략을 도출한다.</t>
  </si>
  <si>
    <t>[12세지04-02]</t>
  </si>
  <si>
    <t>세계 주요 환경 문제의 유형과 실태를 설명하고, 생태전환적 삶에 비추어 현재의 생활방식을 비판적으로 점검한다.</t>
  </si>
  <si>
    <t>는 지역별, 지구적 환경 문제를 살펴보고, 환경 보호에 따른 개별 국가의 상이한 손익으로 인한 환경 문제 대응의 복잡성을 이해할 수 있도록 설정된 것이다. 학습자들은 생태전환적 삶을 위해 자신의 생활방식을 비판적으로 점검하는 기회를 가진다.</t>
  </si>
  <si>
    <t>[12세지04-03]</t>
  </si>
  <si>
    <t>다양한 지정학적 분쟁을 국제 정세의 변화와 관련지어 조사하고, 세계 평화와 정의에 기여할 수 있는 방안을 찾아 실천한다.</t>
  </si>
  <si>
    <t>에서는 상호 긴장이나 갈등으로 인해 발생하는 지정학적 분쟁 상황을 조사한다. 나아가 지구촌의 평화와 공존을 위한 국제 사회의 노력을 파악하고, 개인적 차원에서 기여할 수 있는 방안을 찾아 실천해 보도록 한다.</t>
  </si>
  <si>
    <t>[12세사01-01]</t>
  </si>
  <si>
    <t>현생 인류의 삶과 문명의 형성을 생태환경과의 관계 속에서 파악한다.</t>
  </si>
  <si>
    <t>현생 인류가 생태환경과의 관계 속에서 수렵⋅채집, 농경, 목축 등 다양한 방식으로 생존을 도모하였음을 살피면서, 각각의 생활이 생태환경과 어떤 관계를 맺으며 이루어졌는지를 파악하는 데 중점을 둔다. 또한 이러한 토대 위에서 형성된 아프로유라시아⋅아메리카 지역의 고대 문명을 고고학적 자료를 중심으로 탐구하는 데 초점을 맞춘다.</t>
  </si>
  <si>
    <t>[12세사01-02]</t>
  </si>
  <si>
    <t>동아시아, 인도 세계의 형성을 문화의 상호 작용과 관련지어 이해한다.</t>
  </si>
  <si>
    <t>동아시아 세계가 유교, 불교, 한자, 율령을 공유하고, 인도에 불교와 힌두교를 기반으로 하는 세계가 형성되며, 동아시아 세계와 인도 세계가 상호 작용하는 양상에 주목한다.</t>
  </si>
  <si>
    <t>[12세사01-03]</t>
  </si>
  <si>
    <t>서아시아, 지중해, 유럽 세계의 형성과 문화적 특징을 종교의 확산과 관련지어 분석한다.</t>
  </si>
  <si>
    <t>서아시아, 지중해, 유럽 세계에서 발생한 다양한 고대 정치 체제의 발전과 이에 따른 인간관⋅세계관과 종교의 변화를 파악하고, 크리스트교 세계와 이슬람교 세계의 형성 및 교류⋅충돌을 통한 경제 교류와 문화적 변동을 이해하는 데 중점을 둔다.</t>
  </si>
  <si>
    <t>[12세사02-01]</t>
  </si>
  <si>
    <t>이슬람 세계와 몽골 제국의 팽창에 따른 교류 양상을 파악한다.</t>
  </si>
  <si>
    <t>[12세사02-02]</t>
  </si>
  <si>
    <t>유럽의 신항로 개척과 재정⋅군사 국가의 성립이 가져온 변화를 분석한다.</t>
  </si>
  <si>
    <t>신항로 개척 이후의 교역망 확대 및 식민지 건설을 중상주의와 연결하여 이해하고, 이와 더불어 유럽의 재정⋅군사 국가 간 견제와 균형의 상황이 전개되었다는 점을 고려한다. 또한 재정⋅군사 국가의 지리적 확장이 유럽, 식민지에 가져온 변화를 다양한 측면에서 분석하고 파악하는 데 중점을 둔다.</t>
  </si>
  <si>
    <t>[12세사02-03]</t>
  </si>
  <si>
    <t>세계적 상품 교역이 가져온 사회적⋅경제적 변화를 이해한다.</t>
  </si>
  <si>
    <t>유라시아 대륙, 인도양, 대서양, 태평양을 통해 유통된 향신료, 차, 도자기, 면직물, 은, 설탕 등의 상품 교역과 노예 무역이 가져온 변화를 이해하는 데 초점을 맞춘다.</t>
  </si>
  <si>
    <t>[12세사03-01]</t>
  </si>
  <si>
    <t>청, 무굴 제국, 오스만 제국의 통치 정책과 사회, 문화의 변화를 이해한다.</t>
  </si>
  <si>
    <t>중국, 인도, 서아시아 지역에서 서구와는 다른 정치, 경제 모델이 발전하고 있었음을 이해한다. 청, 무굴 제국, 오스만 제국이 여러 민족, 문화를 통합하는 방식과 농업, 상업, 수공업 등 경제가 성장하는 양상에 초점을 맞춘다.</t>
  </si>
  <si>
    <t>[12세사03-02]</t>
  </si>
  <si>
    <t>미국 혁명, 프랑스 혁명을 시민 사회 형성과 관련지어 파악한다.</t>
  </si>
  <si>
    <t>18세기 말 인간의 권리에 대한 자각, 계몽사상의 영향과 함께 진행된 미국 혁명과 프랑스 혁명의 성과와 한계를 살펴본다. 또한 참정권 제한에 대해 보편적 인권을 확보하려는 노력이 19세기 유럽과 아메리카의 시민 사회 형성과 다양한 정치⋅사회적 운동으로 발전해 나갔다는 점에 초점을 맞춘다.</t>
  </si>
  <si>
    <t>[12세사03-03]</t>
  </si>
  <si>
    <t>제1⋅2차 산업 혁명이 가져온 사회, 경제, 생태환경의 변화를 분석한다.</t>
  </si>
  <si>
    <t>제1⋅2차 산업 혁명이 초래한 경제적 변동과 산업 자본주의의 발전, 그리고 이에 따라 나타난 사회 문제와 생태환경 문제를 파악하며, 이를 바탕으로 서양 열강의 제국주의 정책을 이해하는 데 중점을 둔다.</t>
  </si>
  <si>
    <t>[12세사03-04]</t>
  </si>
  <si>
    <t>아시아와 아프리카 지역에서 전개된 국민 국가 건설 운동의 양상과 성격을 비교한다.</t>
  </si>
  <si>
    <t>[12세사04-01]</t>
  </si>
  <si>
    <t>제1⋅2차 세계 대전을 인권, 과학 기술 문제와 관련지어 파악한다.</t>
  </si>
  <si>
    <t>두 차례 세계 대전이 총력전의 성격을 지녔음을 이해한다. 대량 살상과 인권 침해 사례를 조사하고, 전쟁의 참상을 과학 기술과 관련지어 살펴보는 데 초점을 맞춘다.</t>
  </si>
  <si>
    <t>[12세사04-02]</t>
  </si>
  <si>
    <t>냉전의 전개 양상에 따라 나타난 사회, 문화의 변화를 분석한다.</t>
  </si>
  <si>
    <t>냉전 질서 속에서 전개된 갈등의 대표적인 사례를 조사하고, 냉전의 대결 구도 속에서 나타난 사회적⋅문화적 변화를 탐구하는 데 초점을 맞춘다.</t>
  </si>
  <si>
    <t>[12세사04-03]</t>
  </si>
  <si>
    <t>현대 세계의 과제를 해결하기 위해 인류가 기울여온 노력을 탐구한다.</t>
  </si>
  <si>
    <t>민주주의, 평화, 경제적 불평등, 생태환경 등 현대 세계의 과제에 대한 인류의 노력을 학습자가 스스로 탐구해볼 수 있도록 설정하였다. 세계사에서 학습한 내용을 토대로 현대 문제를 탐색하고 해결 방안을 도출하는 데 초점을 맞춘다.</t>
  </si>
  <si>
    <t>[12사문01-01]</t>
  </si>
  <si>
    <t>사회현상의 탐구를 위해 사회현상의 특징에 대한 이해와 사회학적 상상력이 필요함을 인식하고, 사회현상에 대한 다양한 관점을 비교한다.</t>
  </si>
  <si>
    <t>은 자연현상과 사회현상의 특징을 비교하고, 사회학적 상상력에 기초하여 사회현상이 개인을 넘어서는 사회적 관계 및 맥락 속에서 발생하여 개인의 삶에 영향을 미친다는 점을 인식하며, 이를 바탕으로 동일한 사회현상을 다양한 관점에서 이해할 수 있음을 파악하기 위한 것이다. 이를 위해 사회현상을 이해하는 관점으로 기능론, 갈등론, 상징적 상호 작용론을 다룰 수 있다.</t>
  </si>
  <si>
    <t>[12사문01-02]</t>
  </si>
  <si>
    <t>사회현상에 대한 양적 연구 방법과 질적 연구 방법의 특징 및 연구 절차를 비교하고, 각 연구 방법을 활용한 연구 사례를 분석한다.</t>
  </si>
  <si>
    <t>[12사문01-03]</t>
  </si>
  <si>
    <t>사회현상에 대한 다양한 자료 수집 방법의 특징을 비교하고, 각 자료 수집 방법을 활용한 연구 사례를 분석한다.</t>
  </si>
  <si>
    <t>[12사문01-04]</t>
  </si>
  <si>
    <t>사회현상의 탐구에서 발생하는 연구자의 가치 개입 및 연구 윤리 관련 쟁점을 토론하고, 연구 윤리를 준수하며 사회현상에 대한 탐구를 수행한다.</t>
  </si>
  <si>
    <t>는 사회현상의 탐구 과정에서 발생하는 연구자의 가치 개입 및 가치 중립, 연구 윤리에 관한 쟁점을 살펴보고, 이를 고려하여 학생들이 사회현상에 대한 연구 주제를 선정하고 실제로 탐구를 계획⋅수행하는 것을 목적으로 한다.</t>
  </si>
  <si>
    <t>[12사문02-01]</t>
  </si>
  <si>
    <t>사회 구조와 개인의 관계에 대한 이해를 바탕으로 개인의 사회화 과정, 사회화 기관 및 유형을 설명하고, 사회화에 대한 서로 다른 이론적 관점을 비교한다.</t>
  </si>
  <si>
    <t>[12사문02-02]</t>
  </si>
  <si>
    <t>사회 집단 및 사회 조직의 유형과 변화 양상에 대한 이해를 바탕으로 사회 집단 및 사회 조직이 개인의 사회생활과 사회적 관계에 미치는 영향을 설명한다.</t>
  </si>
  <si>
    <t>는 다양한 사회 집단 및 사회 조직의 특징을 살펴보고, 현대 사회에서 나타나고 있는 사회 집단 및 사회 조직의 변화 요인 및 양상을 분석함으로써 사회 집단 및 사회 조직과 개인의 관계를 이해하기 위한 것이다. 이를 위해 사회 집단 및 사회 조직을 분류하는 데 중점을 두기보다는 다양한 사회 집단 및 사회 조직이 복합적으로 개인의 삶에 영향을 미치고 있으며, 현대 사회에서 사회 집단과 조직의 성격이 변화하고 있음을 이해하는 데 초점을 맞춘다.</t>
  </si>
  <si>
    <t>[12사문02-03]</t>
  </si>
  <si>
    <t>일탈 행동의 발생 요인이나 특성을 설명하는 다양한 일탈 이론을 비교하고, 일탈 행동에 대한 사회 통제의 유형과 사회 통제의 필요성 및 문제점을 분석한다.</t>
  </si>
  <si>
    <t>은 다양한 이론을 통해 일탈 행동의 원인과 해결 방안을 살펴보고, 다양한 사회 통제 유형에 대한 이해를 바탕으로 일탈 행동에 대한 사회 통제의 필요성과 문제점을 비판적으로 분석하기 위한 것이다. 이를 위해 일탈 이론으로는 아노미 이론, 차별 교제 이론, 낙인 이론, 비판 범죄학 이론 등을, 사회 통제 유형으로는 내적 통제와 외적 통제, 공식적 통제와 비공식적 통제를 다룰 수 있다.</t>
  </si>
  <si>
    <t>[12사문02-04]</t>
  </si>
  <si>
    <t>사회 변동이 다양한 요인의 복합적인 상호 작용의 산물이라는 점을 설명하고, 현대 사회의 변동 과정에서 나타나는 다양한 사회 운동의 유형과 특징을 탐구한다.</t>
  </si>
  <si>
    <t>는 현대 사회의 다양한 변동 양상을 통해 사회 변동이 여러 요인들의 복합적인 상호 작용의 산물임을 이해하고, 현대 사회의 변동 과정에서 중요한 역할을 하는 사회 운동의 유형과 특징을 실제 사례를 통해 탐구하기 위한 것이다. 이를 위해 현대 사회의 변동 양상으로 정보 사회로의 이행, 세계화, 저출산 및 고령화로 인한 인구 구조의 변화 등을 다룰 수 있다.</t>
  </si>
  <si>
    <t>[12사문03-01]</t>
  </si>
  <si>
    <t>대중문화에 대한 다양한 관점을 비교하고, 일상적으로 접하는 사례를 중심으로 대중문화가 개인과 사회에 미치는 영향을 토의한다.</t>
  </si>
  <si>
    <t>은 대중문화에 대한 다양한 관점을 비교하여 대중문화에 대한 균형 있는 이해를 도모하고, 이를 바탕으로 일상적으로 접하는 다양한 대중문화가 우리의 삶과 사회에 미치는 영향을 능동적으로 탐구하기 위한 것이다. 이를 위해 대중문화에 대한 관점으로 리비스주의, 문화 산업론, 문화주의, 취향 문화론 등을 다룰 수 있다.</t>
  </si>
  <si>
    <t>[12사문03-02]</t>
  </si>
  <si>
    <t>미디어의 효과에 대한 이해를 바탕으로 미디어가 생산하는 메시지를 비판적으로 분석하고 대안적 메시지 생산에 능동적으로 참여한다.</t>
  </si>
  <si>
    <t>는 미디어의 효과를 다양한 이론을 통해 살펴본 후, 이를 바탕으로 미디어가 생산하는 메시지의 내용, 의도, 영향 등을 비판적으로 분석하고 기존의 미디어가 생산한 메시지의 문제점을 해결할 수 있는 대안적 메시지 생산 능력을 키우기 위한 것이다. 이를 위해 미디어의 효과에 관한 이론으로 침묵의 나선 이론, 문화 배양 이론, 프레이밍 이론, 의제 설정 이론 등을 다룰 수 있다.</t>
  </si>
  <si>
    <t>[12사문03-03]</t>
  </si>
  <si>
    <t>하위문화와 주류 문화의 관계에 대한 이해를 바탕으로 다문화 사회의 이주민 문화에 대한 서로 다른 관점을 비교하고, 이주민 문화가 갖는 의의에 기초하여 문화 다양성을 증진하기 위한 방안을 제시한다.</t>
  </si>
  <si>
    <t>은 주류 문화와의 관련성을 바탕으로 하위문화의 특징과 다양한 사례를 이해하고, 하위문화의 한 사례로서 다문화 사회의 이주민 문화에 대한 서로 다른 관점을 비교하여 문화 다양성 증진 방안을 모색하기 위한 것이다. 이를 위해 대항 문화, 지역 문화, 세대 문화, 이주민 문화 등을 통해 하위문화의 특징과 사례를 살펴보고, 이주민 문화에 대한 서로 다른 관점으로 동화주의와 다문화주의를 비교할 수 있다.</t>
  </si>
  <si>
    <t>[12사문03-04]</t>
  </si>
  <si>
    <t>문화 변동의 다양한 요인과 양상, 문화 변동 과정에서 발생하는 문제점을 이해하고, 문화의 세계화로 인해 나타나는 쟁점에 대해 탐구한다.</t>
  </si>
  <si>
    <t>[12사문04-01]</t>
  </si>
  <si>
    <t>사회 불평등 현상을 이해하는 서로 다른 관점을 비교하고, 사회 이동과 사회 계층 구조의 유형 및 특징을 분석한다.</t>
  </si>
  <si>
    <t>[12사문04-02]</t>
  </si>
  <si>
    <t>현대 사회에서 나타나는 다양한 사회 불평등 양상을 분석하고, 차별받는 사람들의 입장에 대한 공감을 바탕으로 다양한 불평등 현상에 대한 해결 방안을 모색한다.</t>
  </si>
  <si>
    <t>는 현대 사회에서 나타나는 다양한 사회 불평등 양상의 원인과 실태를 분석하고, 해결 방안을 모색하기 위한 것이다. 이를 위해 사회 불평등 양상으로 빈곤, 성 불평등, 사회적 소수자 차별 문제 등을 다룰 수 있다.</t>
  </si>
  <si>
    <t>[12사문04-03]</t>
  </si>
  <si>
    <t>복지 국가의 발전 과정에 대한 이해를 바탕으로 사회 복지 제도의 유형과 특징을 비교하고, 현대 사회에서 나타나고 있는 사회 복지를 둘러싼 쟁점을 토론한다.</t>
  </si>
  <si>
    <t>은 사회 복지 제도의 유형과 특징, 최근의 변화 양상을 우리나라의 사회 복지 제도를 통해 이해하고, 이를 바탕으로 현대 사회에서 나타나고 있는 사회 복지를 둘러싼 쟁점을 토론함으로써 사회 복지의 발전 방안을 모색하기 위한 것이다. 이를 위해 우리나라의 사회 복지 제도로서 사회 보험, 공공 부조, 사회 서비스를 비교하고, 생산적 복지 이념의 도입으로 인한 변화를 분석할 필요가 있다. 또한 현대 사회에서 나타나고 있는 사회 복지에 관한 쟁점으로 보편적 복지와 선별적 복지를 둘러싼 쟁점, 아동 복지나 노인 복지를 둘러싼 쟁점 등을 다룰 수 있다.</t>
  </si>
  <si>
    <t>[12한탐01-01]</t>
  </si>
  <si>
    <t>다양한 현상에 대해 지리적 관점으로 질문을 던지고, 질문에 답을 하기 위한 탐구 계획을 수립한다.</t>
  </si>
  <si>
    <t>은 일상적으로 경험하는 현상들에 대해 지리적 질문을 던지고, 이러한 질문에 답하기 위해 어떤 근거가 필요하며 나아가 근거를 어떻게 수집할 수 있는지 파악하는 일련의 질문 던지기와 탐구 계획 세우기의 과정을 숙달하기 위해 설정되었다. 학생들은 탐구하려는 현상에 대해 ‘그 현상은 어디인가?’ ‘왜 거기일까?’ ‘그 현상은 어떻게 변화해 왔는가?’ ‘그 현상으로 어떤 영향이 있을까?’ ‘나는 그 현상에 대해 어떻게 생각하는가?’와 같은 질문을 던질 수 있다. 또한, 교사는 학생의 탐구 계획 수립을 지원하기 위해 ‘그 질문에 답하기 위해 어떤 근거가 필요할까?’ ‘그 근거는 어디서, 어떻게 구할 수 있을까?’ ‘주어진 시간 내에 수집이 가능할까?’ ‘근거를 확보한다면 어떻게 정리하고, 표현할 수 있을까?’와 같은 질문을 던질 수 있다.</t>
  </si>
  <si>
    <t>[12한탐01-02]</t>
  </si>
  <si>
    <t>야외조사 및 지리정보기술을 활용한 데이터 수집방법을 연습하고, 탐구 질문에 맞춰 데이터를 수집, 분석, 시각화한다.</t>
  </si>
  <si>
    <t>는 지리탐구 계획에 맞춰 직접 데이터를 수집, 분석, 시각화해 보는 것이 목적이다. 학생들의 원활한 데이터 수집을 지원하기 위해 양적 연구방법과 질적 연구방법의 차이를 설명하고, 통계 자료나 데이터베이스, 야외조사 방법이나 지리정보기술의 활용 방법을 안내한다. [12한탐01-02]는 지리탐구를 수행하기에 적합한 다른 성취기준과 통합하여 운영할 수 있다.</t>
  </si>
  <si>
    <t>[12한탐02-01]</t>
  </si>
  <si>
    <t>식품의 생산, 유통, 소비과정을 조사함으로써 음식을 통한 생산자와 소비자, 상품, 장소의 연결성을 이해하고, 상품사슬을 조직하는 윤리적인 방식의 가능성과 한계를 파악한다.</t>
  </si>
  <si>
    <t>은 음식이라는 일상적인 소재를 통해 나와 지역, 세계와의 연결성을 이해하고, 나아가 자신의 소비가 생산과정과 생산지의 윤리적, 생태적 변화에 미치는 영향을 탐색하기 위해 설정되었다. 이를 위해 자신이 소비하는 식품을 선정하여 생산지의 위치와 자연환경, 생산에 참여하는 사람들과 생산방식, 유통 경로와 운송수단, 소비 장소와 소비문화를 조사한다. 이 과정에서 학생들이 상품의 소비자일 뿐만 아니라 지역과 공동체를 변화시킬 수 있는 주체임을 인식할 수 있도록 한다.</t>
  </si>
  <si>
    <t>[12한탐02-02]</t>
  </si>
  <si>
    <t>핫 플레이스의 특징, 생성과정, 정체성 이슈를 조사하고, 지역 자원을 활용한 관광 활성화 방안을 제안한다.</t>
  </si>
  <si>
    <t>는 장소도 다른 상품과 마찬가지로 광고나 미디어를 통해 알려지고 소비될 뿐만 아니라 사람들의 기대에 맞춰 재창조되기도 한다. 사람들이 많이 찾는 핫 플레이스를 소재로 매력적인 장소가 어떻게 만들어지고 선택되며 소비되는지, 매력적인 장소를 만들기 위해 지역에서는 어떤 전략을 활용하고 노력을 하는지, 이 과정에서 미디어의 역할은 무엇인지를 종합적으로 이해하는 것이 목적이다. 자신이 거주하는 지역에 대한 온오프라인의 다양한 관광 관련 데이터를 조사하고, 이를 토대로 스토리텔링과 장소 마케팅 전략을 시도하며, 관광지로서의 장⋅단점, 잠재성을 평가한다.</t>
  </si>
  <si>
    <t>[12한탐02-03]</t>
  </si>
  <si>
    <t>모빌리티와 모바일, 빅 데이터, 플랫폼의 결합이 시⋅공간 활용에 미치는 영향을 설명하고, 모빌리티 공유서비스가 일상생활에 미친 영향과 문제점을 조사해 대안을 제시한다.</t>
  </si>
  <si>
    <t>은 모빌리티를 소재로 4차 산업혁명 기술이 개인의 이동성과 시⋅공간 활용, 지역의 교통 및 환경문제 등에 미치는 영향을 조사하기 위해 설정되었다. 이를 위해 모빌리티 공유서비스(예: 공유 자전거, 공유 자동차), 무인 자동차, 개인화된 모빌리티 등 최근 모빌리티의 변화와 이러한 변화를 가능하게 하는 인공지능, 자율주행, 빅 데이터 분석 등 4차 산업혁명 기술을 연결지어 이해한다.</t>
  </si>
  <si>
    <t>[12한탐03-01]</t>
  </si>
  <si>
    <t>통계 자료를 활용해 우리나라 인구 및 가구구조의 변화를 시각화 및 분석하고, 저출생, 고령화, 다문화 가구의 증가에 대응하기 위한 방안을 모색한다.</t>
  </si>
  <si>
    <t>은 통계 자료를 통해 우리나라의 인구 및 가구구조에서 나타나고 있는 주요한 변화들을 확인 및 분석하고, 이를 토대로 미래 사회의 변화를 예측하며, 국가 수준의 대응 노력을 평가하는 것이 목적이다. 특히, 저출생, 고령화, 1인 가구, 다문화 가구 증가의 원인과 배경에 대해 생각해 보고, 자신이 생각하는 대응 방안을 정부의 정책과 비교해볼 수 있도록 한다.</t>
  </si>
  <si>
    <t>[12한탐03-02]</t>
  </si>
  <si>
    <t>식생활 변화 및 세계화에 따른 우리나라 농업의 변화를 이해하고, 지속가능한 농업과 농촌을 위한 정책을 제안한다.</t>
  </si>
  <si>
    <t>는 식생활 변화와 농산물 수입 등 세계화에 따른 우리나라 농업의 변화에 대한 조사 결과를 바탕으로 농업 및 농촌이 당면한 과제를 농업생산성, 농산물 가격, 식량안보, 농지정책, 농촌인력 등의 측면에서 이해하고, 해결책을 모색하는 것이 목적이다.</t>
  </si>
  <si>
    <t>[12한탐03-03]</t>
  </si>
  <si>
    <t>산업구조의 전환이 지역 경제에 미치는 영향을 이해하고, 이를 바탕으로 최근 급속하게 성장한 지역과 위기의 징후가 나타나는 지역의 성격과 특징을 비교한다.</t>
  </si>
  <si>
    <t>은 산업구조의 변화 과정에서 특정 지역의 경제가 성장하고 쇠퇴할 수 있음을 사례 지역을 통해 파악하고, 현재 우리나라의 기술변화 및 산업구조 전환에 대한 이해를 바탕으로 성장하고 있는 지역과 위기에 처한 지역을 비교하기 위해 설정되었다.</t>
  </si>
  <si>
    <t>[12한탐03-04]</t>
  </si>
  <si>
    <t>수도권 집중에 따른 지방소멸과 국토 불균등 발전 문제에 대한 인식을 바탕으로 국가 및 지역 수준의 국토균형발전 방안을 제안하고 실현 가능성을 평가한다.</t>
  </si>
  <si>
    <t>는 도시의 인구 규모 변화 분석을 통해 국토 공간의 불균등 성장으로 수도권 집중과 공간적 확산, 지방 소멸이 나타남을 이해하고, 국토의 균형발전을 위한 국가 및 지역 수준의 정책을 제안 및 평가하기 위해 설정되었다.</t>
  </si>
  <si>
    <t>[12한탐04-01]</t>
  </si>
  <si>
    <t>세계유산으로 등재된 한반도 자연경관의 가치를 탁월성과 보편성의 측면에서 설명하고, 이를 토대로 등재 가능한 자연경관을 추천한다.</t>
  </si>
  <si>
    <t>은 세계 자연유산으로 등재된 제주 화산섬 및 용암동굴 그리고 서남해안의 갯벌을 중심으로 보존 가치가 높은 자연경관의 특징을 파악하고, 이를 바탕으로 남북한의 지형경관 중 추천할만한 사례를 찾아 자신의 의견을 설득력 있게 제시하기 위해 설정되었다.</t>
  </si>
  <si>
    <t>[12한탐04-02]</t>
  </si>
  <si>
    <t>도시화, 농업, 관광지 개발로 인한 산지, 하천, 해안지역의 변화를 조사하고, 환경과 개발에 대한 관점이 자연환경의 복원 및 지속가능한 활용에 미치는 영향을 파악한다.</t>
  </si>
  <si>
    <t>는 개발로 인한 지표면의 변화를 산지, 하천, 해안지역을 사례를 통해 조사하고, 환경에 대한 관점이 하천 및 해안지역의 개발, 보전⋅복원 방식의 선택 및 지속가능성에 미치는 영향을 조사하기 위해 설정되었다. 산지, 하천, 해안지역의 변화는 항공사진 분석 및 야외조사 등의 방법으로 파악한다. 사례를 통해 자연환경의 지속가능한 활용의 의미를 이해하며, 자연환경의 복원에 있어서 기술(공학)을 강조하는 방식과 자연 기반 해법 등을 비교한다.</t>
  </si>
  <si>
    <t>[12한탐04-03]</t>
  </si>
  <si>
    <t>우리나라 및 우리 지역에서 주로 발생하는 자연재해의 유형과 특징을 분석하고, 이를 토대로 자연재해의 경감 대책을 조사하고 평가한다.</t>
  </si>
  <si>
    <t>은 우리나라 및 지역에서 주로 발생하는 자연재해의 유형과 특징을 조사하고, 대책을 평가하는 것이 목적이다. 학생들은 자연현상과 자연재해를 구분하고, 인간의 대응 측면에서 위험과 취약성의 개념을 통해 자연재해를 이해하며, 국가 및 지역 수준의 재해별 대응 방안을 찾아 평가할 수 있도록 한다.</t>
  </si>
  <si>
    <t>[12한탐04-04]</t>
  </si>
  <si>
    <t>우리나라의 에너지원별 발전에 관한 주요 쟁점을 조사하고, 탄소중립 달성을 위한 에너지 정책을 제안한다.</t>
  </si>
  <si>
    <t>는 우리나라의 안정적인 에너지 공급과 탄소중립을 위한 에너지 정책을 제안하는 것이 목적이다. 이를 위해 석탄, 천연가스, 원자력, 재생에너지 등 에너지원별 발전 현황을 발전 단가, 탄소배출, 에너지 자립의 측면에서 평가하고, 산업, 건물, 수송(교통) 부문이 탄소배출에서 차지하는 비중을 조사한다. 또한, 발전 유형별 입지 특성, 전력 생산지와 소비지의 불일치에서 발생하는 형평성 문제 등 에너지 정책의 지리적 쟁점에 대해 토론한다.</t>
  </si>
  <si>
    <t>[12한탐05-01]</t>
  </si>
  <si>
    <t>북한의 지리적 특징과 당면과제에 대한 이해를 바탕으로 남북협력의 가능성을 모색한다.</t>
  </si>
  <si>
    <t>은 우리나라 정부 및 국제기구, 인터넷 지도 서비스 등에서 제공하는 통계 자료, 사진, 항공사진, 위성영상을 활용하여 북한의 지리적 특징과 지속가능발전 상황을 파악하고, 이를 바탕으로 남북 간 협력방안을 모색하는 것이 목표이다. 이를 위해 북한의 인구와 도시 분포, 경제구조와 같은 기본적인 정보에서부터, 농업과 식량 자급, 지속가능한 에너지 접근성, 자연재해와 산림관리, 교역상대국과 교역품 유형 등의 정보를 활용하여 북한 지역의 특징과 당면과제를 이해하고, 남북이 협력할 수 있는 분야와 방식을 고민한다.</t>
  </si>
  <si>
    <t>[12한탐05-02]</t>
  </si>
  <si>
    <t>한반도를 둘러싼 국가 간 경계와 접경지역을 분석하고, 동아시아 지역의 발전과 평화⋅공존을 위한 지정학적 전략을 토론한다.</t>
  </si>
  <si>
    <t>는 한반도 및 주변 국가 간 경계와 접경지역에 대한 이해를 바탕으로 동아시아의 갈등과 협력의 가능성을 이해하기 위해 설정되었다. 다양한 사례의 분석을 통해 국가 간 경계의 성격은 인접한 두 지역 간 관계에 따라 변화할 수 있다는 것을 이해하고, 이를 토대로 새롭게 발생하는 동아시아 지역의 지정학적 이슈를 해석하며, 이 지역의 발전과 평화⋅공존을 위한 우리나라의 역할에 대해 토론한다.</t>
  </si>
  <si>
    <t>[12도탐01-01]</t>
  </si>
  <si>
    <t>도시의 의미를 이해하고, 도시의 특성이 도시적 생활양식에 미치는 영향을 일상 공간을 사례로 탐구한다.</t>
  </si>
  <si>
    <t>에서는 도시의 의미를 주관적, 객관적 측면에서 복합적으로 다루도록 한다. 도시의 주관적 의미에서는 장소감을 중심으로 자신과 도시를 연결 지을 수 있도록 하고, 도시의 객관적 의미는 인구, 기능적 영향력 범위 등을 중심으로 살펴볼 수 있다. 또한 규모, 밀도, 인구의 이질성과 같은 속성이 익명성, 자유로움, 개방성, 혼종성 등 오늘날 삶의 방식을 규정하는 생활양식으로서의 도시성(urbanism)에 영향을 미치고 있음을 파악하도록 한다.</t>
  </si>
  <si>
    <t>[12도탐01-02]</t>
  </si>
  <si>
    <t>도시의 발달과정에 대한 이해를 바탕으로 하여 다양한 유형의 도시를 비교하고, 내가 사는 도시의 발달과정을 탐구한다.</t>
  </si>
  <si>
    <t>에서는 도시의 발달과정을 역사적, 공간적으로 조망하며 다양한 유형의 도시를 비교한다. 현대 도시의 경우, 후기 산업 도시뿐만 아니라 사회주의 국가와 개발도상국 등의 도시를 소개할 수 있다. 이를 통해 자신이 생각하는 도시와 도시적 생활양식은 유일한 것이 아니고 변화할 수 있으며, 우리가 도시를 어떻게 만들어 가느냐에 따라 살기 좋은 도시가 될 수도, 쇠퇴하는 도시가 될 수도 있음을 이해하는데 주안점을 둔다. 이를 바탕으로 하여 자신이 살고 있거나 자신이 사는 지역 인근 도시의 발달과정을 탐구한다.</t>
  </si>
  <si>
    <t>[12도탐01-03]</t>
  </si>
  <si>
    <t>살기 좋은 도시에 대한 다양한 관점을 비교하고, 살기 좋은 도시의 사례와 특징을 조사한다.</t>
  </si>
  <si>
    <t>은 과목 전체를 아우르는 탐구 주제인 ‘살기 좋은 도시 만들기’에 대한 도입의 역할을 한다. 우선 거주 적합성을 중심으로 거주지를 선택하고 결정하는 데 영향을 주는 요인들을 살펴볼 수 있다. 다음으로 미디어 등을 활용하여 살기 좋은 도시를 바라보는 다양한 관점을 비교하고 그 사례와 특징을 조사한다.</t>
  </si>
  <si>
    <t>[12도탐02-01]</t>
  </si>
  <si>
    <t>도시 간의 상호 작용과 교류에 의해 형성되는 도시 체계를 이해하고, 도시 공간 구조는 고정되지 않고 지속해서 재구성됨을 인식한다.</t>
  </si>
  <si>
    <t>에서는 세계 도시 계층 체계를 중심으로 세계화 시대의 도시 간 상호 작용과 연계를 이해한다. 도시 공간 구조에 관해서는 전통적인 도시이론을 상세히 다루는 것을 지양하며, 도시 공간 구조가 고정되지 않고 경제적, 사회적, 문화적 요인 등에 의해 변화하고 재구성됨을 여러 대도시의 사례를 통해 이해할 수 있다.</t>
  </si>
  <si>
    <t>[12도탐02-02]</t>
  </si>
  <si>
    <t>문화 자산을 활용한 도시 브랜딩과 건축이 도시의 경관과 도시에 대한 인식 변화에 미친 영향을 탐구한다.</t>
  </si>
  <si>
    <t>에서는 역사, 예술, 건축, 축제, 생활양식 등의 문화 자산을 활용한 도시 브랜딩(도시 마케팅, 도시 브랜드화)의 사례를 통해 문화가 도시의 성장과 변화의 원동력이 될 수 있음을 이해한다. 특히, 도시 브랜딩에서는 문화 콘텐츠, 마케팅 분야에 대한 진로 탐색, 건축에서는 유명 건축가와 도시 계획가 등의 사례를 소개함으로써 건축 및 도시 계획 분야로의 진로 탐색 기회가 될 수 있도록 한다.</t>
  </si>
  <si>
    <t>[12도탐02-03]</t>
  </si>
  <si>
    <t>서비스업의 성장과 소비주의 심화가 도시 경제와 도시의 경관, 생활양식 변화에 미친 영향을 분석한다.</t>
  </si>
  <si>
    <t>에서는 도시가 어떻게 소비의 중심지가 되는지에 초점을 두고 음식, 패션 등과 같이 일상에서 친숙하고 필수적인 상품들을 소비하는 과정을 사례로, 대량 생산의 확대와 생활 수준의 향상에 따라 서비스업이 분화하고 소비주의가 심화하는 과정을 이해할 수 있다. 또한, 전자상거래, 복합쇼핑몰, 플랫폼 경제의 발달 등과 같은 소비 패턴 변화로 인해 나타나는 도시의 경관과 생활양식의 변화를 탐구하도록 한다.</t>
  </si>
  <si>
    <t>[12도탐02-04]</t>
  </si>
  <si>
    <t>첨단 산업과 모빌리티의 발달이 도시의 성장과 쇠퇴에 미치는 영향을 조사하고, 정보통신기술의 발달로 출현하고 있는 스마트 도시를 사례로 살고 싶은 도시의 미래 모습을 예측한다.</t>
  </si>
  <si>
    <t>에서는 세계 여러 도시의 사례를 바탕으로 하여 첨단 산업과 모빌리티의 발달로 인한 도시의 변화를 도시의 경관, 거주 및 생태환경, 생활양식 등을 중심으로 다룬다. 동시에 이로 인한 전통적 산업 도시의 쇠퇴 사례도 소개할 수 있다. 특히, 스마트 도시에서는 도시의 기반 시설 건설과 유지에 필요한 최신의 기술이 총 망라되므로 도시 계획 및 다양한 공학 분야로의 진로 탐색 기회가 될 수 있도록 한다.</t>
  </si>
  <si>
    <t>[12도탐03-01]</t>
  </si>
  <si>
    <t>도시의 환경 문제와 재난은 자연적 요인과 사회적 요인이 복합적으로 작용하여 발생하고 있음을 사례를 통해 파악하고, 이를 공간 정의의 관점에서 분석하여 해결 방안을 탐색한다.</t>
  </si>
  <si>
    <t>에서는 환경 문제와 재난의 종류와 원인을 병렬적으로 나열하는 것을 지양하며, 공간 정의를 함께 고려할 수 있도록 해야 한다. 환경 문제와 재난이 도시 내 특정 지역이나 계층, 집단에 집중되어 발생하지는 않는지 파악하고 이러한 문제가 발생하는 원인과 해결 방안을 탐색한다. 이를 통해 도시의 자연환경과 사회시스템에 대해 복합적으로 이해할 수 있으므로 도시행정 및 도시 계획, 사회복지, 환경공학, 토목공학 등 다양한 분야로의 진로 탐색 기회가 될 수 있도록 한다.</t>
  </si>
  <si>
    <t>[12도탐03-02]</t>
  </si>
  <si>
    <t>부동산에 대한 인식 변화와 도시의 주거 문제 심화 사례를 조사하고, 이를 공간 정의의 관점에서 분석하여 해결 방안을 탐색한다.</t>
  </si>
  <si>
    <t>에서는 부동산이 사회문제로 대두하게 된 과정과 원인을 우리나라의 대표적인 주거 형태인 아파트를 사례로 탐구하고, 세계 여러 도시와의 비교를 통해 부동산의 개념을 올바르게 이해할 수 있도록 한다. 도시의 주거 문제 심화 사례로는 청년 주거 문제, 부동산 소유 집중과 투기, 도시 재생과 젠트리피케이션의 부정적 효과, 빗장 도시(gated community)의 확산 등을 다룰 수 있다.</t>
  </si>
  <si>
    <t>[12도탐03-03]</t>
  </si>
  <si>
    <t>국제 이주에 따라 도시의 인구 구성과 공간 구조가 변화하여 발생하는 문제를 조사하고, 도시 구성원들의 다양성과 차이를 존중하고 공존하는 방안을 모색한다.</t>
  </si>
  <si>
    <t>에서는 국제 이주에 초점을 두어 다문화 측면에서 도시의 인구 구성과 공간 구조 변화를 탐구한다. 특히, 자신이 살고 있거나 자신이 사는 지역 인근 도시의 인구 구성과 공간 구조 및 경관 변화에 대한 조사를 통해 도시 공간의 문화적 다양성과 변화를 이해하고 존중하는 태도를 기를 수 있다.</t>
  </si>
  <si>
    <t>[12도탐04-01]</t>
  </si>
  <si>
    <t>지속가능성과 회복력이 높은 도시가 되기 위한 요건에 대해 토의하고 이와 관련한 도시 계획 및 도시 혁신 사례를 탐구한다.</t>
  </si>
  <si>
    <t>에서는 도시가 인간과 비인간이 공존하고 상호 작용하는 공간이라는 인식에서 더 나아가 도시의 지속가능성을 사회적, 경제적 측면까지 폭넓게 고려하여 토의하는데 주안점을 둔다. 이를 위해 도시 속 동물, 생태 지향적 건축, 에너지 전환, 쓰레기 처리, 재난과 위험 관리, 사회적 약자 보호, 모빌리티와 이동권, 도시 기반 시설 등과 관련한 다양한 사례를 탐구함과 동시에 진로 탐색의 기회가 될 수 있도록 한다.</t>
  </si>
  <si>
    <t>[12도탐04-02]</t>
  </si>
  <si>
    <t>도시의 공공성을 높이기 위한 도시 정치의 중요성을 이해하고, 도시를 만들어가는 주체로서 시민이 가져야 할 바람직한 태도를 함양하여 도시 정치에 적극적으로 참여한다.</t>
  </si>
  <si>
    <t>에서는 도시에 대한 권리를 중심으로 도시의 공공성을 이해한다. 한정된 자원을 둘러싼 도시 구성원 간 갈등과 경쟁을 해결하기 위한 도시 정치의 필요성을 교통⋅편의 시설의 입지 등을 사례로 탐구할 수 있다. 시민이 능동적으로 참여하여 도시의 공공성을 높이는 사례로 도시 커먼즈(urban commons) 운동, 마을(도시) 공동체, 공유 경제 등을 다룰 수 있다.</t>
  </si>
  <si>
    <t>[12동역01-01]</t>
  </si>
  <si>
    <t>역사 기행을 통한 탐구의 방법을 이해하고, 동아시아의 범위와 특징을 파악한다.</t>
  </si>
  <si>
    <t>[12동역01-02]</t>
  </si>
  <si>
    <t>생태환경을 바탕으로 형성된 유목 세계, 농경 세계, 해양 세계의 삶을 이해한다.</t>
  </si>
  <si>
    <t>[12동역02-01]</t>
  </si>
  <si>
    <t>동아시아의 지역 간 교류를 보여주는 문화유산을 탐구한다.</t>
  </si>
  <si>
    <t>동아시아의 유목 세계, 농경 세계, 해양 세계가 상호 교류 관계를 맺는 모습을 파악하기 위해 설정하였다. 선사 시대부터 기원 전후에 걸쳐 지역 간 교류를 보여주는 대표적인 유적과 문화유산의 사례를 중심으로 다룬다.</t>
  </si>
  <si>
    <t>[12동역02-02]</t>
  </si>
  <si>
    <t>종교와 사상을 중심으로 동아시아 각 지역 간 교류 양상을 파악한다.</t>
  </si>
  <si>
    <t>[12동역02-03]</t>
  </si>
  <si>
    <t>몽골의 팽창 및 17세기 전후 동아시아 전쟁이 초래한 변화를 이해한다.</t>
  </si>
  <si>
    <t>전쟁과 세력 팽창이 동아시아 각국에 정치⋅사회⋅문화적 변화를 초래하였다는 점을 이해하기 위해 설정하였다. 몽골의 팽창은 13~14세기를 다루며 각 지역에서 형성된 교역망이 연결되며 동서 교역이 확대되었다는 점에 초점을 맞춘다. 17세기 전후 동아시아 전쟁으로는 임진, 병자 전쟁을 중점적으로 다룬다.</t>
  </si>
  <si>
    <t>[12동역02-04]</t>
  </si>
  <si>
    <t>이슬람과 유럽 세력의 참여를 통해 확대된 동아시아 교류의 모습을 탐구한다.</t>
  </si>
  <si>
    <t>주요 교역 물자를 매개로 교류 확대의 양상을 파악하도록 하고, 결제 수단으로 은이 활용되었음에 주목한다. 동아시아 각 지역에 확대된 불교 및 힌두교 문화와 이슬람교의 영향을 이해하고 교역을 매개로 활동한 중국인과 인도인의 모습을 이들의 거점이 된 주요 도시들을 활용하여 파악한다. 또한 유럽과의 교역 확대가 동남아시아 지역에 항시(港市)의 발달을 촉진했음을 이해한다.</t>
  </si>
  <si>
    <t>[12동역03-01]</t>
  </si>
  <si>
    <t>동아시아 지역에서 전개된 제국주의 열강의 침략 전쟁을 탐구한다.</t>
  </si>
  <si>
    <t>19세기부터 아시아⋅태평양 전쟁 발발 이전까지 제국주의 열강의 침략 전쟁을 조명하기 위해 설정하였다. 침략 과정에서 체결된 여러 불평등 조약의 내용을 토대로 제국주의 침략의 성격을 파악하고, 전적지 및 침략 전쟁이 남긴 문화유산을 통해 전쟁을 이해한다.</t>
  </si>
  <si>
    <t>[12동역03-02]</t>
  </si>
  <si>
    <t>아시아⋅태평양 전쟁과 이에 대한 저항과 연대의 움직임을 파악한다.</t>
  </si>
  <si>
    <t>아시아⋅태평양 전쟁의 발생 배경과 전쟁의 양상을 살펴봄으로써, 전쟁이 동아시아 지역에 끼친 영향과 이 전쟁에 맞서 국경을 초월하여 활동한 반제⋅반전의 움직임을 탐구하기 위해 설정하였다.</t>
  </si>
  <si>
    <t>[12동역03-03]</t>
  </si>
  <si>
    <t>제국주의 열강의 침략과 전쟁이 지역 생활과 생태환경에 끼친 영향을 탐구한다.</t>
  </si>
  <si>
    <t>제국주의 열강의 침략과 전쟁 및 식민 지배가 동아시아 생태환경에 크게 영향을 미쳤으며 이것이 오늘날까지도 지속되고 있음을 인식하기 위해 설정하였다. 농업과 공업 분야의 개발로 나타난 생태환경의 변화가 인간과 자연에 미친 영향을 살펴보는 데 초점을 둔다. 또한 지역과 지역 간의 이동이 활발해짐에 따라 전염병이 광범위하게 전파된 측면도 다룰 수 있다.</t>
  </si>
  <si>
    <t>[12동역04-01]</t>
  </si>
  <si>
    <t>냉전 시기 동아시아 지역에서 전개된 전쟁을 탐구하고, 각국의 정치⋅사회적 변화를 파악한다.</t>
  </si>
  <si>
    <t>냉전 시기 동아시아 각 지역에서 전개된 국제전, 국지전의 양상을 살펴보고, 이 시기 동아시아 각국의 정치⋅사회적 변화를 조망하기 위해 설정하였다. 전쟁 발발의 배경과 전쟁이 동아시아 지역에 초래한 영향, 민중이 겪은 고통, 이산의 아픔 등을 파악하는 데 주안점을 둔다. 정치⋅사회적 변화로는 동아시아 각국의 민주화 운동 사례를 학습할 수 있다.</t>
  </si>
  <si>
    <t>[12동역04-02]</t>
  </si>
  <si>
    <t>경제 및 대중문화 교류가 확대되는 모습을 이해하고, 다문화 사회의 현실을 파악하여 공존을 위한 노력을 모색한다.</t>
  </si>
  <si>
    <t>[12동역04-03]</t>
  </si>
  <si>
    <t>동아시아의 역사 및 영토 갈등과 새롭게 대두되는 문제를 파악하고 해결하려는 자세를 갖는다.</t>
  </si>
  <si>
    <t>동아시아의 역사 및 영토 갈등, 기후⋅환경 문제의 해결을 모색하기 위해 설정하였다. 이러한 갈등과 문제를 역사적 맥락에서 이해하고, 국경을 초월한 연대가 필요함을 강조한다. 동아시아 공존과 평화, 환경 문제 해결을 위한 청소년의 역할을 모색하면서 자신의 진로 탐색에 활용할 수 있다.</t>
  </si>
  <si>
    <t>[12정치01-01]</t>
  </si>
  <si>
    <t>정치의 의미와 공동체 유지 발전에 정치가 필요한 이유를 이해하고, 일상생활에서 나타나는 정치의 사례를 찾아 분석한다.</t>
  </si>
  <si>
    <t>[12정치01-02]</t>
  </si>
  <si>
    <t>민주주의 이념을 이해하고, 이를 구현하기 위한 다양한 민주주의의 모델을 탐색한다.</t>
  </si>
  <si>
    <t>[12정치01-03]</t>
  </si>
  <si>
    <t>민주 정치의 역사적 발전 과정을 이해하고, 현대 민주 정치의 다양한 사상적 배경을 비교⋅분석한다.</t>
  </si>
  <si>
    <t>은 민주 정치의 발전 과정에 대한 이해를 바탕으로 민주 정치의 사상적 배경을 탐구하기 위해 설정하였다. 여기에서는 민주 정치의 역사적 발전 과정을 고대, 근대 시민혁명 시기, 시민혁명 이후, 현대로 구분하여 살펴보고 그 과정에서 나타난 사회계약설, 자유주의와 공동체주의 등의 사상이 어떤 의미를 갖는지에 대한 학습에 초점을 맞춘다.</t>
  </si>
  <si>
    <t>[12정치01-04]</t>
  </si>
  <si>
    <t>민주주의를 실현하기 위한 원리를 탐색하고, 이러한 원리를 일상생활에 적용한다.</t>
  </si>
  <si>
    <t>는 민주주의 실현을 위한 원리 이해를 바탕으로, 이러한 원리를 일상생활의 사례에 적용하도록 설정하였다. 특히 민주주의를 실현하기 위한 원리로 다수결의 원칙, 소수 의견 존중, 대화와 타협, 숙의와 토론 등에 대해 알아보고 이를 일상생활의 사례에 적용하는 학습에 초점을 맞춘다.동체의 의사 결정 과정에 참여하기⋅정치적 의사 결정을 위한 대안들을 비교 분석하고, 민주시민으로서 공동체의 문제 해결을 위해 적극적으로 참여하고 협업하기⋅다양한 정부 형태에서 나타나는 견제와 균형의 원리 사례를 탐색 및 분석하기⋅전 지구적 갈등의 원인을 설명하고, 이를 해결하기 위해 다양한 대안을 모색하기⋅국제 사회문제를 바라보는 다양한 관점을 구분하고, 이를 해결하기 위한 국제법과 국제기구의 역할을 분석하기</t>
  </si>
  <si>
    <t>[12정치02-01]</t>
  </si>
  <si>
    <t>민주 국가의 정치과정을 분석하고, 시민이 정치과정에 참여해야 하는 이유를 탐색한다.</t>
  </si>
  <si>
    <t>[12정치02-02]</t>
  </si>
  <si>
    <t>민주 정치에서 정당의 의미와 역할을 탐구하고, 다양한 정치 참여의 방법을 비교, 분석한다.</t>
  </si>
  <si>
    <t>는 민주 정치에서 정당이 차지하는 의미를 이해하고 다양한 정치 참여의 방법을 비교, 분석하도록 설정하였다. 특히 정당, 이익집단, 시민단체, 언론 등 정치 참여 주체들의 기능과 역할을 이해하고, 우리가 일상생활에서 실천할 수 있는 시민 참여의 구체적인 방법을 탐색하는 데 초점을 맞춘다.</t>
  </si>
  <si>
    <t>[12정치02-03]</t>
  </si>
  <si>
    <t>대의제에서 선거의 중요성과 선거 제도의 다양한 유형을 이해하고, 우리나라 선거 제도의 특징과 문제점을 분석한다.</t>
  </si>
  <si>
    <t>[12정치02-04]</t>
  </si>
  <si>
    <t>미디어를 통한 정치 참여 방법의 특징과 문제점을 분석하고, 유권자이자 피선거권자로서 미디어를 비판적으로 활용하는 태도를 지닌다.</t>
  </si>
  <si>
    <t>는 정치 참여의 방법 중 미디어를 통한 참여의 중요성을 인식하고 미디어를 비판적으로 활용하는 태도를 지니도록 설정하였다. 특히, 청소년이 선거권과 피선거권을 가진 시민으로서 투표에 참여하기 위해 다양한 미디어를 비판적으로 활용하는 데 초점을 맞춘다.</t>
  </si>
  <si>
    <t>[12정치03-01]</t>
  </si>
  <si>
    <t>정치권력의 의미와 특징을 이해하고, 근대 이후 국가 권력이 형성되는 원리를 이해한다.</t>
  </si>
  <si>
    <t>[12정치03-02]</t>
  </si>
  <si>
    <t>민주 국가의 정부 형태인 대통령제와 의원 내각제의 특징을 비교하여 이해하고, 우리나라 정부 형태의 특징을 헌법을 통해 분석한다.</t>
  </si>
  <si>
    <t>는 민주 국가의 정부 형태가 크게 두 원형을 중심으로 구분된다는 점을 바탕으로 우리나라의 정부 형태를 구분하고 헌법에서 이를 확인하기 위해 설정하였다. 특히 민주 국가의 정부 형태를 영국과 미국 등 전형적인 사례를 통해 파악하고, 우리나라의 정부 형태가 갖는 특징을 비교하여 분석하는 학습에 초점을 맞춘다.</t>
  </si>
  <si>
    <t>[12정치03-03]</t>
  </si>
  <si>
    <t>입법부, 행정부, 사법부의 역할을 이해하고, 이들 간의 상호 관계를 권력 분립의 원리에 기초하여 분석한다.</t>
  </si>
  <si>
    <t>은 우리나라 국가 권력 기관의 역할에 대한 이해를 바탕으로 권력이 어떻게 분립하여 행사되는지 알아보기 위해 설정하였다. 특히 우리나라의 국회, 대통령과 행정부, 법원과 헌법재판소 등 국가 권력 기관의 기본적인 역할과 이들의 상호 관계를 권력 분립의 원리에 따라 이해할 수 있는 학습에 초점을 맞춘다.</t>
  </si>
  <si>
    <t>[12정치03-04]</t>
  </si>
  <si>
    <t>중앙 정부와의 관계 속에서 지방 자치의 의의를 이해하고, 우리나라 지방 자치의 현실과 과제를 탐구한다.</t>
  </si>
  <si>
    <t>[12정치04-01]</t>
  </si>
  <si>
    <t>국제 사회의 특징과 변화 과정을 이해하고 국제 정치를 바라보는 관점을 비교하여 분석한다.</t>
  </si>
  <si>
    <t>은 국제 사회의 특징에 대한 이해를 바탕으로 국제 정치를 바라보는 관점을 비교, 분석하도록 설정하였다. 특히 현실주의와 자유주의를 중심으로 국제 정치를 바라보는 관점에 대한 학습에 초점을 맞춘다.</t>
  </si>
  <si>
    <t>[12정치04-02]</t>
  </si>
  <si>
    <t>다양한 국제 문제의 원인을 분석하고, 이를 해결하기 위해 국가를 비롯한 여러 주체가 수행하는 활동을 분석한다.</t>
  </si>
  <si>
    <t>는 오늘날 국제 사회에 존재하는 다양한 국제 문제를 인식하고 이를 해결하는 주체들의 활동을 분석하도록 설정하였다. 특히 국가, 국제연합이나 국제 사법 재판소 등과 같은 국제기구, 비정부기구 등을 중심으로 국제 문제를 해결하는 활동을 탐색하고 비교하는 학습에 초점을 맞춘다.</t>
  </si>
  <si>
    <t>[12정치04-03]</t>
  </si>
  <si>
    <t>우리나라를 둘러싼 국제 관계를 이해하고, 외교적 관점에서 한반도를 둘러싼 국제 질서를 분석한다.</t>
  </si>
  <si>
    <t>[12정치04-04]</t>
  </si>
  <si>
    <t>국제 사회에서 발생하는 다양한 갈등의 원인을 분석하고 세계시민으로서 갈등을 해결하는 자세를 갖는다.</t>
  </si>
  <si>
    <t>[12법사01-01]</t>
  </si>
  <si>
    <t>가족관계와 관련된 기본적인 내용인 혼인, 출생, 상속 등을 이해하고, 이를 일상생활의 사례에 적용한다.</t>
  </si>
  <si>
    <t>에서는 우리 삶의 기초인 가족관계(부부, 부모와 자녀 등)를 이해한다. 두 사람의 자유로운 의사에 따른 혼인과 부부 관계, 출산⋅입양으로 형성되는 부모와 자녀 관계(친자 관계, 친권)에 초점을 맞춘다.</t>
  </si>
  <si>
    <t>[12법사01-02]</t>
  </si>
  <si>
    <t>채권 관계와 관련된 기본적인 내용인 계약, 불법행위 등과 사적 자치를 이해하고, 이를 일상생활의 사례에 적용한다.</t>
  </si>
  <si>
    <t>에서는 채권 관계를 다룬다. 물건의 자유로운 교환을 가능하게 하는 계약 관계를 통해 채권의 기능과 개인과 개인의 법(률)관계에 적용되는 대원칙인 사적 자치의 원칙을 이해한다. 그리고 타인에게 위법행위를 한 자와 이로 인하여 손해를 입은 자 사이에 이해를 조정하는 불법행위와 손해배상을 이해하고 일상생활에서 일어나는 사례에 이를 적용하여 해결한다.</t>
  </si>
  <si>
    <t>[12법사01-03]</t>
  </si>
  <si>
    <t>물권 관계와 관련된 기본적인 내용인 부동산⋅동산에 관한 권리의 기능과 특징, 권리와 의무로 구성되는 법(률)관계를 이해하고, 이를 일상생활의 사례에 적용하여 법적 문제를 해결한다.</t>
  </si>
  <si>
    <t>에서는 물권 관계를 다룬다. 우리 삶에 필요한 물건을 스스로 지배하고 이용할 수 있는 물권 중 소유권, 임차권, 저당권 등을 중심으로 법(률)관계가 권리와 의무로 구성된다는 것을 이해하고 일상생활에서 일어나는 사례에 이를 적용하여 법적 문제를 해결한다. 재산권 존중의 원칙이 물권 영역을 지배하는 원칙임을 이해한다.</t>
  </si>
  <si>
    <t>[12법사02-01]</t>
  </si>
  <si>
    <t>민주주의와 법치주의의 발전 과정을 이해하고, 우리나라 권력 분립의 원리를 탐구한다.</t>
  </si>
  <si>
    <t>에서는 민주주의와 법치주의의 발전 과정에 대한 분석을 토대로 민주주의와 법치주의의 관계를 이해한다. 권력 분립의 원리가 민주주의와 법치주의를 실현하기 위하여 헌법이 채택한 세부 원리 중 하나임을 이해하고 우리나라 헌법에서 입법부, 행정부, 사법부의 권한을 중심으로 어떻게 구현되어 있는지에 대해 탐구한다.</t>
  </si>
  <si>
    <t>[12법사02-02]</t>
  </si>
  <si>
    <t>우리나라 헌법의 기본 원리와 기본권 내용을 이해하고, 기본권 제한의 요건과 한계를 탐구한다.</t>
  </si>
  <si>
    <t>에서는 현대 국가에서 민주주의와 법치주의가 헌법을 통해 구현된다는 점과 우리나라의 헌법에서 나타난 기본 원리가 무엇인지 이해한다. 우리나라 헌법이 어떤 기본권을 보장하고 어떤 경우에 기본권이 제한될 수 있는지에 대해 분석하고, 기본권 제한의 사례를 통하여 요건과 한계를 탐구한다.</t>
  </si>
  <si>
    <t>[12법사02-03]</t>
  </si>
  <si>
    <t>형법의 의의와 기능을 죄형 법정주의를 중심으로 이해하고, 범죄의 성립 요건과 형벌의 종류, 형사 절차를 탐구한다.</t>
  </si>
  <si>
    <t>에서는 죄형 법정주의를 중심으로 형법의 의의, 범죄의 의미와 형벌의 종류를 이해하고, 형사 절차에서 인권보장을 위해 마련된 원리와 제도를 이해한다. 인권보장을 위해 법치주의가 형사 절차에서 어떻게 구현되어 있는지에 초점을 맞추어 탐구한다.</t>
  </si>
  <si>
    <t>[12법사02-04]</t>
  </si>
  <si>
    <t>법원과 헌법재판소의 법적 문제 해결 과정을 탐구하고, 사법의 의미와 한계를 인식하여 입법론적 해결이 필요한 경우를 탐구한다.</t>
  </si>
  <si>
    <t>에서는 우리나라의 국가기관 중 사법기관인 법원과 헌법재판소가 어떤 역할을 하는지 이해하고 이 과정에서 입법⋅행정과 구분되는 사법(司法)의 특성을 이해한다. 법원과 헌법재판소가 어떤 과정을 거쳐 법적 문제를 해결하는지 탐구하면서 사법의 의미와 한계를 인식하고 어떤 경우에 입법론적 해결 방법이 필요한지 탐구하고 이를 통해 문제를 해결한다.</t>
  </si>
  <si>
    <t>[12법사03-01]</t>
  </si>
  <si>
    <t>법으로 보장되는 근로자의 권리를 이해하고, 이를 일상생활의 사례에 적용한다.</t>
  </si>
  <si>
    <t>에서는 노동법을 통해 보호되는 근로자의 권리에 대한 이해를 바탕으로 직장생활에서 발생하는 다양한 법적 문제를 탐구한다. 이때 청소년(연소자)이 근로 계약을 맺었을 때 법적으로 어떤 권리가 있고 어떤 보호를 받을 수 있는지에 대해서 초점을 맞추어 탐구한다.</t>
  </si>
  <si>
    <t>[12법사03-02]</t>
  </si>
  <si>
    <t>인간다운 생활을 보장하려는 사회보장과 경쟁 및 소비자를 보호하기 위한 법적 근거를 탐구하고, 구체적인 사례에서 공공 쟁점을 찾아 토론한다.</t>
  </si>
  <si>
    <t>에서는 경제생활에서 발생하는 사회문제를 해결하기 위한 사회보장, 소비자 보호, 독과점 규제 등 다양한 경제 관련 제도를 법적 관점에서 살펴본다. 이와 관련하여 법적 근거를 탐구하고, 이와 관련된 사례에서 쟁점을 도출하여 토론한다.</t>
  </si>
  <si>
    <t>[12법사03-03]</t>
  </si>
  <si>
    <t>현대적 법(률)관계의 특징과 지적 재산권의 의미를 이해하고, 이와 관련된 일상생활에서의 사례를 찾아보고 관련 쟁점을 토론한다.</t>
  </si>
  <si>
    <t>에서는 지능정보사회에서 인터넷 서비스 제공자를 매개로 한 현대적 법(률)관계의 특징을 살펴본다. 현대적 법(률)관계에서 발생하는 인터넷 서비스 제공자의 책임, 플랫폼 노동의 보호, 지적 재산의 보호와 그 한계와 같은 법적 문제에 초점을 맞춘다.</t>
  </si>
  <si>
    <t>[12법사04-01]</t>
  </si>
  <si>
    <t>학생과 청소년이 누릴 수 있는 권리와 의무를 이해하고, 이를 학교와 일상생활의 사례에 적용한다.</t>
  </si>
  <si>
    <t>에서는 학생과 청소년으로서 갖는 권리와 의무, 이를 구현하기 위한 국가와 학교의 권한과 의무를 살펴본다. 성년인 시민과 비교하여 학생과 청소년이 왜 특별한 보호와 제한을 받는지 학습하고, 그러한 특별한 보호와 제한이 적절한지 비판적으로 탐구한다.</t>
  </si>
  <si>
    <t>[12법사04-02]</t>
  </si>
  <si>
    <t>학교폭력의 해결 과정을 살펴보며, 학교생활에서 발생하였거나 발생할 수 있는 법적 문제를 발견하고 그 해결 방안을 탐구한다.</t>
  </si>
  <si>
    <t>에서는 법, 교육, 윤리 등 다양한 문제를 해결하는 데 동원되는 다양한 해결 수단을 파악하고, 그 중 법적 해결 방안이 가지는 특징을 이해한다. 학교폭력을 해결하기 위한 민법, 형법, 행정법적인 노력을 탐구하고 그것이 가지는 효과와 한계를 학습한다. 학교 규칙 개정, 휴대전화 사용, 교권 침해 등 학교생활에서 발생할 수 있는 다양한 법적 문제를 발견하고 이를 법적으로 해결하는 방안을 사례를 중심으로 탐구한다.</t>
  </si>
  <si>
    <t>[12법사04-03]</t>
  </si>
  <si>
    <t>법적 문제를 해결하는데 필요한 법, 조약, 판례, 입법자료 등을 찾아보고, 민주시민으로서 나와 사회가 당면한 사회적 논의에 참여하는 태도를 가진다.</t>
  </si>
  <si>
    <t>에서는 사회생활에서 발생하는 다양한 문제를 법적 관점에서 해결하는 데 필요한 법, 조약, 판례, 입법자료를 찾고, 이에 근거해 당면한 사회문제를 법해석과 입법을 통해서 해결하기 위한 사회적 논의에 참여한다. 사회문제를 해결하는데 법이 가지는 유용성과 그 한계를 인식하면서 사회적 논의에 참여함으로써 균형 잡힌 대안을 제시할 수 있는 시민의 역량을 가진다.</t>
  </si>
  <si>
    <t>[12경제01-01]</t>
  </si>
  <si>
    <t>인간 생활에서 자원의 희소성으로 인해 발생하는 경제 문제의 중요성을 인식하고, 경제학의 분석 대상과 성격을 이해한다.</t>
  </si>
  <si>
    <t>은 자원의 희소성에 의해 경제 문제가 발생한다는 것을 파악하고, 이를 바탕으로 경제학은 다양한 경제적 선택행위를 분석 대상으로 삼고 있음을 이해하기 위해 설정된 것이다.</t>
  </si>
  <si>
    <t>[12경제01-02]</t>
  </si>
  <si>
    <t>경제 문제를 해결하는 다양한 방식의 장단점을 비교하고, 시장경제의 기본 원리와 이를 뒷받침하는 제도를 파악한다.</t>
  </si>
  <si>
    <t>는 기본적인 경제 문제를 해결하는 방식으로써 전통 경제, 계획경제, 시장경제의 특징과 장점 및 한계점을 비교하고, 시장경제는 경제 주체의 자유와 경쟁을 바탕으로 가격 기구를 통해 경제 문제를 해결하려고 한다는 점에 초점을 맞춘다.</t>
  </si>
  <si>
    <t>[12경제01-03]</t>
  </si>
  <si>
    <t>인간은 경제적 유인에 반응함을 인식하고, 편익과 비용을 고려하여 합리적으로 선택하는 능력과 한계 분석을 이용한 의사 결정 능력을 계발한다.</t>
  </si>
  <si>
    <t>에서는 편익과 비용의 차이인 순편익을 가장 크게 하는 것이 합리적 선택임을 인식하고 이때 한계 편익과 한계 비용이 일치하게 됨을 파악할 수 있도록 설정된 것이다. 또한 긍정적 유인과 부정적 유인의 다양한 사례를 탐구할 수 있도록 한다.</t>
  </si>
  <si>
    <t>[12경제02-01]</t>
  </si>
  <si>
    <t>수요와 공급에 의한 시장 균형의 결정과 변동 원리를 파악하고, 이를 다양한 시장에 적용한다.</t>
  </si>
  <si>
    <t>은 수요와 공급을 통한 시장 균형 가격 및 거래량의 결정과 변동 원리를 이해할 수 있도록 설정된 것이다. 이를 바탕으로 상품 시장뿐 아니라 노동 시장, 금융 시장 등 다양한 시장에 적용하는 학습이 이루어질 수 있도록 한다.</t>
  </si>
  <si>
    <t>[12경제02-02]</t>
  </si>
  <si>
    <t>정부를 비롯한 공공 부문의 경제적 역할을 이해하고, 조세, 공공재 등과 같이 시장의 자원 배분에 개입하는 사례를 탐구한다.</t>
  </si>
  <si>
    <t>에서는 시장 기능뿐 아니라 정부를 비롯한 공공 부문의 활동에 대해 파악할 수 있도록 설정된 것이다. 특히 정부의 주요 활동에 대해서는 조세 부과, 소득 재분배, 공공재 생산, 경쟁 제한 규제 및 공정 거래 확립 등을 중심으로 다룬다. 또한 시장 실패와 정부 실패 및 그에 따른 대책에 대해서도 균형 있게 탐구할 수 있도록 한다.</t>
  </si>
  <si>
    <t>[12경제02-03]</t>
  </si>
  <si>
    <t>시장 기능과 공공 부문의 활동을 비교하고, 자원 배분의 효율성과 형평성에 미치는 영향을 평가한다.</t>
  </si>
  <si>
    <t>[12경제03-01]</t>
  </si>
  <si>
    <t>여러 가지 거시 경제 변수를 탐색하고, 국가 경제 전반의 활동 수준을 파악한다.</t>
  </si>
  <si>
    <t>은 거시 경제 변수에 대한 이해를 바탕으로 국가 경제의 활동 수준을 파악할 수 있도록 설정된 것이다. 다양한 거시 경제 변수 중 국내 총생산, 물가 상승률, 실업률을 중심으로 개념과 활용 사례 등을 통한 학습이 이루어질 수 있도록 한다.</t>
  </si>
  <si>
    <t>[12경제03-02]</t>
  </si>
  <si>
    <t>경제 성장의 의미와 요인을 이해하고, 한국 경제의 변화와 경제적 성과를 균형 있는 시각에서 평가한다.</t>
  </si>
  <si>
    <t>[12경제03-03]</t>
  </si>
  <si>
    <t>경기 변동의 의미와 요인을 이해하고, 경기 안정화 방안으로 재정 정책과 통화 정책을 분석한다.</t>
  </si>
  <si>
    <t>은 경기 변동에 대처하기 위한 재정 정책과 통화 정책의 기본 원리를 이해하기 위해 설정된 것이다. 경제 안정화 정책의 원리와 경제적 효과를 체계적으로 분석함과 동시에 정책을 둘러싼 찬반 논쟁도 균형 있게 다루어질 수 있도록 한다.</t>
  </si>
  <si>
    <t>[12경제04-01]</t>
  </si>
  <si>
    <t>개방된 국제 사회에서 국제 거래를 파악하고, 국가 간 상호 의존성이 증대하고 있음을 이해한다.</t>
  </si>
  <si>
    <t>는 재화, 서비스, 생산요소 등의 국가 간 거래의 필요성을 인식하고 비교 우위에 따른 특화와 교역의 이득을 중점적으로 분석하기 위해 설정된 것이다. 비교 우위와 특화의 원리가 개인뿐 아니라 국가 간 교역을 설명하는 데 적용될 수 있음을 학습한다. 또한 무역 정책과 관련해서는 자유 무역과 보호 무역의 논리를 균형 있게 다루도록 한다.</t>
  </si>
  <si>
    <t>[12경제04-02]</t>
  </si>
  <si>
    <t>비교 우위에 따른 특화와 교역을 중심으로 무역 원리를 이해하고, 자유 무역과 보호 무역 정책의 경제적 효과를 설명한다.</t>
  </si>
  <si>
    <t>[12경제04-03]</t>
  </si>
  <si>
    <t>외환 시장에서 환율의 결정 원리를 이해하고, 환율 변동이 국가 경제와 개인의 경제생활에 미치는 영향을 탐구한다.</t>
  </si>
  <si>
    <t>은 환율의 결정 원리에 대한 이해를 바탕으로 환율 변동이 국가 경제와 개인의 경제생활에 미치는 영향을 연결하여 분석하기 위해 설정된 것이다. 다만, 국제 수지는 환율 변동이 국가 경제에 미치는 영향을 파악하는 데 한하여 학습하도록 한다.</t>
  </si>
  <si>
    <t>[12국관01-01]</t>
  </si>
  <si>
    <t>근대 이후 국제 관계의 형성과 변화 과정을 파악한다.</t>
  </si>
  <si>
    <t>은 근대 국민 국가가 형성된 역사적 배경을 이해하고, 특히 20세기 두 차례 세계 대전 이후 형성된 오늘날 국제 관계의 특징을 파악하는 것에 초점을 맞춘다.</t>
  </si>
  <si>
    <t>[12국관01-02]</t>
  </si>
  <si>
    <t>국제 사회를 이해하는 주요 관점인 현실주의와 자유주의를 중심으로 구체적인 국제 관계의 사례를 분석하고, 대안적 관점들을 탐색한다.</t>
  </si>
  <si>
    <t>는 국제 사회를 이해하는 현실주의와 자유주의의 기본 전제를 이해하고, 구체적인 사례를 통해 두 관점이 국가 간 갈등과 평화에 접근하는 차이점을 비교하는 데 초점을 맞춘다. 그리고 구성주의 등 대안적 관점들이 국제 관계를 어떻게 이해하는지 그 특징을 파악한다.</t>
  </si>
  <si>
    <t>[12국관01-03]</t>
  </si>
  <si>
    <t>국제 문제를 해결하기 위한 다양한 행위 주체의 활동을 탐색하고, 그 성과와 문제점에 대하여 토론한다.</t>
  </si>
  <si>
    <t>은 국제 문제에 대해 개인, 다국적 기업, 국가, 국제기구 등 개별 행위 주체가 실천할 수 있는 행동이나 취할 수 있는 태도를 분석하는 데 초점을 맞춘다. 이때 행위 주체에 따른 장점과 한계를 비교하고, 서로 다른 입장을 가질 수 있는 가치 갈등 상황을 분석한다.</t>
  </si>
  <si>
    <t>[12국관02-01]</t>
  </si>
  <si>
    <t>국가 간 불평등의 원인을 파악하고, 이러한 불평등이 야기하는 갈등 상황을 분석한다.</t>
  </si>
  <si>
    <t>은 국가 간 경제 발전의 차이와 부의 편중 문제가 발생한 원인을 분석하고, 선진국과 개발도상국 간의 갈등 양상을 사례를 통해 탐색하는 데 초점을 맞춘다.</t>
  </si>
  <si>
    <t>[12국관02-02]</t>
  </si>
  <si>
    <t>공정 무역과 공적 개발 원조 등 국제 사회의 상생을 위한 노력을 조사하고, 다양한 행위 주체의 협력 방안을 탐색한다.</t>
  </si>
  <si>
    <t>는 국가 간 불균형 발전이 초래한 문제를 해결하기 위한 개인, 국가, 국제기구 등의 노력을 공정 무역, 공적 개발 원조 등 구체적인 방법을 중심으로 파악하기 위해 설정하였다.</t>
  </si>
  <si>
    <t>[12국관02-03]</t>
  </si>
  <si>
    <t>국제 사회에서 우리나라의 위상을 파악하고, 국제 사회의 불평등 문제를 해결하기 위한 우리나라의 역할을 토론한다.</t>
  </si>
  <si>
    <t>은 해방 이후 최빈국에서 오늘날 선진국으로 성장한 우리나라의 발전 과정을 개괄하고, 국제 사회의 공동 번영을 위해 우리나라가 담당해야 할 역할에 초점을 맞춘다.</t>
  </si>
  <si>
    <t>[12국관03-01]</t>
  </si>
  <si>
    <t>인류가 직면한 평화와 안전의 상황을 다각적으로 조사한다.</t>
  </si>
  <si>
    <t>은 전쟁과 테러, 팬데믹 등 현대 인류의 삶을 위협하는 물리적, 환경적, 문화적 요인들을 탐색하는 데 초점을 맞춘다.</t>
  </si>
  <si>
    <t>[12국관03-02]</t>
  </si>
  <si>
    <t>개인, 국가, 국제 사회의 평화와 안전을 위협하는 요인을 정치, 경제, 사회, 문화의 다양한 영역에 걸쳐 파악하고, 이를 해결하기 위한 실천 방안을 탐색한다.</t>
  </si>
  <si>
    <t>는 다양한 영역에서 개인과 국가, 국제 사회의 평화와 안전을 위협하는 폭력에 대해 토론하고, 이러한 폭력을 제거하여 적극적 평화를 달성하기 위한 세계시민으로서의 역할을 모색하기 위해 설정하였다.</t>
  </si>
  <si>
    <t>[12국관03-03]</t>
  </si>
  <si>
    <t>역동적인 국제 관계 속에서 우리나라가 당면한 평화와 안전의 문제를 파악하고, 평화와 안전을 도모할 수 있는 구체적인 방안에 대하여 토론한다.</t>
  </si>
  <si>
    <t>은 분단과 군사적 대립이라는 위기로부터 한반도의 평화와 안전을 증진하는 방안을 토론하기 위해 설정된 것으로, 북한은 물론 주변국과의 이해관계도 함께 고려하는 데 초점을 맞춘다.</t>
  </si>
  <si>
    <t>[12국관04-01]</t>
  </si>
  <si>
    <t>국제 분쟁을 해결하기 위한 외교와 국제법의 필요성과 기능을 탐색한다.</t>
  </si>
  <si>
    <t>은 국제 분쟁을 해결하기 위한 방안을 탐색하고, 분쟁 해결 수단으로서 외교와 국제법의 기능을 사례를 통해 분석하기 위해 설정하였다.</t>
  </si>
  <si>
    <t>[12국관04-02]</t>
  </si>
  <si>
    <t>국제법의 특징과 법원(法源)을 조사하고, 국제 사법 재판소의 역할과 한계를 파악한다.</t>
  </si>
  <si>
    <t>는 조약, 국제 관습법 등 다양한 국제법의 법원(法源)을 조사하고, 국제 분쟁에 대한 사법적 판단을 담당하는 국제 사법 재판소의 역할과 한계를 실제 사례를 통해 파악하는 데 초점을 맞춘다.</t>
  </si>
  <si>
    <t>[12국관04-03]</t>
  </si>
  <si>
    <t>국제 사회에서 다양한 지역 통합이 이루어지는 현상과 그 이유를 확인하고, 지역 기구의 구성원으로서 우리나라의 역할을 토론한다.</t>
  </si>
  <si>
    <t>은 유럽연합(EU), 북미자유무역협정(NAFTA), 동남아시아국가연합(ASEAN) 등 다양한 지역 기구들이 만들어지는 이유를 탐색하고, 우리나라가 안보, 경제, 환경 등 다양한 분야에서 지역 기구와 조약에 가입하고 있는 이유와 역할을 파악하기 위해 설정하였다.</t>
  </si>
  <si>
    <t>[12여지01-01]</t>
  </si>
  <si>
    <t>다양한 여행 사례와 자신의 여행 경험을 통해 여행의 의미를 파악하고 여행이 삶과 세계 인식에 미치는 영향을 토의한다.</t>
  </si>
  <si>
    <t>는 책이나 대중매체에 나타난 여행 사례와 학습자 자신의 구체적인 여행 경험에 대해 토의하면서 여행의 의미를 살펴보기 위해 설정된 것이다. 여행이 개인, 사회, 시대에 따라 다양한 의미를 갖는다는 것을 확인하고 여행을 왜, 어떻게 하는지 생각해보는 기회를 통해 개인의 행복, 만족감, 자신에게 의미 있는 장소를 찾아가는 과정에 초점을 두도록 한다.</t>
  </si>
  <si>
    <t>[12여지01-02]</t>
  </si>
  <si>
    <t>모빌리티의 변화와 발전에 따라 여행자의 이동, 위치, 장소가 어떻게 연결되고 관계를 맺는지 살펴보고, 다양한 지도 및 지리정보기술을 활용하여 안전한 여행 계획을 수립한다.</t>
  </si>
  <si>
    <t>는 기존의 시⋅공간 압축을 지향하는 교통수단과 차별화되는 모빌리티의 의미를 이해하고, 공항, 버스정류장, 항구, 퍼스널 모빌리티, 여행자의 몸 등 여행자의 경험으로서의 역동적인 장소는 물론이고 다양한 정주와 이동의 관계도 여행의 일부임을 인식하기 위해 설정된 것이다. 안전한 여행을 위한 여행 계획 수립과 여행 준비에 필요한 지식, 기능, 가치 및 태도를 갖출 수 있도록 다양한 여행 자료와 지도 및 지리정보기술을 활용하여 학습자 스스로 여행지, 일정, 경로, 방식 등에 대한 정보를 수집⋅정리⋅조직한다. 여행 계획을 세우는 과정에서 [12여지04-02]의 ‘자신만의 여행 포트폴리오 만들기’ 활동을 염두에 두고 성취기준을 통합하여 운영할 수 있다.</t>
  </si>
  <si>
    <t>[12여지02-01]</t>
  </si>
  <si>
    <t>인간의 정주공간으로서의 도시를 새로운 관점에서 낯설게 바라보고, 여행지로서의 향유 가능성을 탐색한다.</t>
  </si>
  <si>
    <t>은 일상적이고 평범한 삶의 장소로서의 도시를 여행지로 바라보고 다양하게 재현된 도시 공간을 낯선 여행지로 향유할 수 있는 여행자로서의 관점과 연결하여 이해하기 위해 설정된 것이다. [12여지02-01]은 자신이 동경하는 도시를 여행지로 다양하게 해석하고 조망할 수 있는 지리적 시각과 함께 여행지로서의 도시 특징을 다양한 감각을 통해 경험할 수 있는 탐구가 이루어질 수 있도록 한다.</t>
  </si>
  <si>
    <t>[12여지02-02]</t>
  </si>
  <si>
    <t>다양한 문화 경관의 형성 배경과 의미를 이해하고, 감정이입과 공감의 자세로 여행지 주민을 배려하고 존중한다.</t>
  </si>
  <si>
    <t>는 여행지의 문화경관이 지니는 형성 배경과 의미에 대한 탐구를 통해 여행지와 여행지 주민에 대한 정서적 공감과 실천적 태도를 함양하기 위해 설정된 것이다. 여기서는 신문화지리학 관점에서 여행지의 외관, 매력뿐만 아니라 문화경관을 둘러싼 다양한 지리적 의미와 상징체계를 종교, 건축, 예술, 축제, 음식 등의 주제를 통해 학습하는 데에 초점을 둔다.</t>
  </si>
  <si>
    <t>[12여지02-03]</t>
  </si>
  <si>
    <t>여행지의 기후 및 기후변화가 여행자와 여행지 주민에게 미치는 영향과 그 차이를 비교하고, 지리적 상상력을 동원한 간접여행을 통해 기후경관을 체험한다.</t>
  </si>
  <si>
    <t>은 여행지의 기후 특성과 변화하는 기후환경을 이해하고 이를 바탕으로 여행자 및 여행지 주민에게 각각 미치는 영향을 실제 사례를 통해 비교할 수 있도록 설정된 것이다. 여기서는 기후구분의 세부적 기준에 대한 학습보다는 여행지에 미치는 기후의 영향, 기후변화와 여행의 관계, 여행지의 기후를 경험하는 여행자와 여행지 주민의 모습 등 여행하는 과정에서 경험할 수 있는 기후의 특성에 초점을 둔다.</t>
  </si>
  <si>
    <t>[12여지02-04]</t>
  </si>
  <si>
    <t>지형 경관이 지닌 자연적 가치, 심미적인 조화, 인간과의 상호 작용과 같은 지오사이트의 선정기준을 조사하고, 지오투어리즘 프로그램을 제안한다.</t>
  </si>
  <si>
    <t>는 여행지로서 지형 경관이 지니는 매력을 다양한 기준을 통해 살펴보고 지형 여행지의 선정기준을 수립하기 위한 자연적 가치, 심미적인 조화, 인간과의 상호 작용 등을 탐구하도록 설정된 것이다. 여기서는 학생들이 스스로 지오사이트를 선정해 보고, 그 지형 여행지의 매력을 소개하는 지오투어리즘 프로그램을 개발하는 데 중점을 둔다.</t>
  </si>
  <si>
    <t>[12여지03-01]</t>
  </si>
  <si>
    <t>인류의 물질적, 정신적 발전 과정을 성찰할 수 있는 산업유산 및 기념물을 조사하고 여행지의 가치를 평가한다.</t>
  </si>
  <si>
    <t>은 여행의 목적지를 선정하는 기준이 시대와 지역에 따라 변화하고 있음을 이해하고, 산업유산 및 기념물 여행을 통해 여행지를 둘러싼 다양한 가치를 평가하기 위해 설정된 것이다. 산업유산 여행은 산업화 이후 근대 산업유산에 한정하지 않고, 농어촌 경관, 농어업 생태보전, 전통 농어법 등 농어업⋅농어촌 유산을 포함하도록 한다.</t>
  </si>
  <si>
    <t>[12여지03-02]</t>
  </si>
  <si>
    <t>평화, 전쟁, 재난의 상징이 새겨진 지역에 대한 직간접적인 여행을 체험하고 이를 바탕으로 인권, 정의, 인류의 공존을 둘러싼 구조적 문제를 비판적으로 탐구한다.</t>
  </si>
  <si>
    <t>는 전쟁 및 분쟁, 학살 등의 비극적 역사 현장과 빈곤, 환경문제 등으로 고통받는 참상을 통해 평화와 공존의 가치를 내면화하기 위해 설정된 것이다. 여기서는 다크투어리즘, 평화여행 등을 중심으로 역사의 반성과 교훈을 직간접적으로 체험하고 인류의 더 나은 미래를 위한 성찰에 초점을 둔다.</t>
  </si>
  <si>
    <t>[12여지03-03]</t>
  </si>
  <si>
    <t>문화 창조, 첨단 기술과 같은 새로움을 지향하는 지역의 사례를 조사하고, 내가 살고 있는 지역의 로컬 큐레이터로서 다양한 여행 콘텐츠의 발굴과 모니터링을 통해 지역의 의미와 가치를 탐색한다.</t>
  </si>
  <si>
    <t>은 창조적 가치, 첨단 기술, 지역 혁신 등을 통해 인류의 현재를 이끌어가는 세계의 다양한 지역을 여행지로 살펴봄으로써 지역의 소중함을 일깨우기 위해 설정된 것이다. 여기서는 다채로운 지역 여행 콘텐츠와 스토리텔링 방법을 발굴하고, 내가 살고 있는 지역을 참신한 여행지로 소개하는 데에 중점을 둔다.</t>
  </si>
  <si>
    <t>[12여지03-04]</t>
  </si>
  <si>
    <t>공정여행을 통해 여행지를 둘러싼 다양한 문제를 탐색하고, 여행자인 나와 여행지 주민인 그들이 연결된다는 점에서 공존의 의미와 생태 감수성에 대해 성찰한다.</t>
  </si>
  <si>
    <t>는 개발과 보전 등 여행지를 둘러싼 가치 갈등과 해결 과정을 파악하고, 이를 통해 책임 있는 여행의 필요성을 이해하기 위해 설정된 것이다. 여기서는 공정 여행 등 다양한 대안 여행의 출현 맥락과 특성을 이해함으로써 여행자와 여행지 및 여행지 주민 간의 공존을 위해 지속가능한 실천방향을 모색한다.</t>
  </si>
  <si>
    <t>[12여지04-01]</t>
  </si>
  <si>
    <t>미디어와 여행의 상호관계를 통해 여행의 변화양상을 조사하고 미래 사회의 여행자와 여행의 모습을 예측한다.</t>
  </si>
  <si>
    <t>은 정보통신기술 및 사회 관계망 서비스(SNS)의 발달로 인해 변화되는 여행의 양상을 이해하고 이를 바탕으로 미래 사회의 여행자와 여행의 변화된 모습을 예측할 수 있도록 설정된 것이다. 여기서는 여행 산업의 변화 과정, 포스트 코로나 시대의 여행 트렌드, 가상여행, 우주여행, 인공지능 여행 등의 미래 여행, 여행을 통한 진로 탐색 등에 초점을 둔다.</t>
  </si>
  <si>
    <t>[12여지04-02]</t>
  </si>
  <si>
    <t>여행이 주는 가치의 재발견을 통해 자신만의 여행 포트폴리오를 구성하고 나의 삶을 변화시키는 일상 속의 다양한 여행을 실천한다.</t>
  </si>
  <si>
    <t>는 여행의 계획 및 준비, 실행, 정리 및 성찰, 다음 여행의 준비 등 일련의 과정을 통해 발견되는 여행의 가치를 이해하고 각자의 진로를 탐색하여 ‘자신만의 여행 포트폴리오 만들기’를 수행하도록 설정된 것이다. 여기서는 여행의 계획, 여행 자료 정리, 여행의 성찰, 진로 계획 및 탐색 등에 초점을 둔다. 더불어 골목여행, 도보여행, 등산여행 등 일상 속에서 체험할 수 있는 주제를 제공할 수 있도록 한다.</t>
  </si>
  <si>
    <t>[12역현01-01]</t>
  </si>
  <si>
    <t>현대 세계를 전후 체제 형성의 역사를 중심으로 파악한다.</t>
  </si>
  <si>
    <t>현대 세계는 지역 세계가 확장된 결과 지구가 하나의 긴밀한 연결망으로 이루어진 세계를 뜻한다. 현대 세계는 시기를 제1⋅2차 세계 대전 이후로 설정하였으나 탐구 주제에 따라 이전 시기와의 연관성을 고려하여 유연하게 소급하여 다룰 수 있다.</t>
  </si>
  <si>
    <t>[12역현01-02]</t>
  </si>
  <si>
    <t>학습자가 생각하는 현대 세계의 과제를 선정⋅조사하고 그 특징을 분석한다.</t>
  </si>
  <si>
    <t>현대 세계의 과제를 선정하고 조사하여 쟁점별로 발표하는 활동에 중점을 둔다. 이 과정에서 현대 세계를 바라보는 나와 타인의 인식 차이를 확인하고, 자신의 관점을 상대화할 수 있다.</t>
  </si>
  <si>
    <t>[12역현02-01]</t>
  </si>
  <si>
    <t>제2차 세계 대전 이후 인권⋅평화를 위한 국제 사회의 노력과 한계를 파악한다.</t>
  </si>
  <si>
    <t>제2차 세계 대전이 끝난 이후 홀로코스트를 비롯한 전쟁 범죄의 문제가 제기되는 등 평화와 인권이 중요한 의제로 등장했음에 주목한다. 국제 사회는 평화와 인권을 위해 국제 연합을 창설하고 세계 인권 선언 등 국제 규범과 규약을 마련하였으나 냉전의 전개 속에서 그 시도가 한계에 부딪혔음에 주목한다.</t>
  </si>
  <si>
    <t>[12역현02-02]</t>
  </si>
  <si>
    <t>냉전 시기 열전의 전개 양상을 찾아보고, 전쟁 당사국의 전쟁 경험을 비교한다.</t>
  </si>
  <si>
    <t>6⋅25 전쟁과 베트남 전쟁을 중심으로 냉전 시기 전개된 열전의 양상과 특징을 파악한다. 전쟁에 개입한 여러 당사국의 이해관계 및 행위 주체의 경험과 삶을 드러내며, 전쟁의 참상을 청소년과 여성 등의 시선에서 접근한다.</t>
  </si>
  <si>
    <t>[12역현02-03]</t>
  </si>
  <si>
    <t>세계 여러 지역의 전쟁 관련 기념 시설이 제시하는 기억 방식을 조사하여 분석한다.</t>
  </si>
  <si>
    <t>전쟁 관련 조형물 및 기념관을 조사하여 전쟁을 기억하는 방식의 차이를 파악하는 데 초점을 둔다. 국가별로 정부가 설립한 전쟁 기념관의 공식 기억과 집단⋅개인의 기억 차이를 비교하거나, 피난과 학살 등 특정 주제를 중심으로 전쟁을 기억하는 방식에 주목한다. 학습자 스스로 온오프라인의 다양한 기념관을 방문하는 활동을 전개할 수 있다.</t>
  </si>
  <si>
    <t>[12역현03-01]</t>
  </si>
  <si>
    <t>세계 경제의 성장과 기술 혁신의 변화 양상을 조사한다.</t>
  </si>
  <si>
    <t>1950년대 이후 세계 경제 규모가 비약적으로 커지면서 인구가 폭발적으로 늘어나고 인류의 생활 방식이 크게 변화하였음에 주목한다. 과학기술 발전으로 경제 성장이 가속화하였다는 점에 중점을 둔다.</t>
  </si>
  <si>
    <t>[12역현03-02]</t>
  </si>
  <si>
    <t>대중 소비 사회의 형성과 생태환경의 문제 및 극복 노력을 사례 중심으로 탐구한다.</t>
  </si>
  <si>
    <t>전 지구적 차원의 대량 생산 체제가 마련되고 대중 소비 사회가 본격화되면서 생태환경의 문제가 심화되었음에 초점을 맞춘다. 생태환경의 문제는 대륙별⋅지역별로 편차가 있음에 유의하며 문제 해결을 위한 국제적 연대 활동이 활발하게 이루어진 사례를 중심으로 살핀다.</t>
  </si>
  <si>
    <t>[12역현03-03]</t>
  </si>
  <si>
    <t>기후변화와 관련된 협약 및 보고서를 조사하고, 그 의미를 추론한다.</t>
  </si>
  <si>
    <t>국제 사회 기후변화 협약의 변화 과정을 파악하고 이에 영향을 미친 기후변화 평가 보고서도 함께 조사한다. 기후변화 협약과 보고서의 내용을 바탕으로 기후변화의 심각성을 깨닫고 대안을 모색 한다.</t>
  </si>
  <si>
    <t>[12역현04-01]</t>
  </si>
  <si>
    <t>국제 분쟁 및 무력 갈등의 원인과 전개 양상을 사례 중심으로 파악한다.</t>
  </si>
  <si>
    <t>국제 분쟁 및 무력 갈등의 사례를 선정하고 분쟁의 발생 원인을 역사적 맥락에서 탐구하는 데 초점을 맞춘다. 국제 분쟁은 민족, 종족, 종교, 영토 문제 등 다양한 요인이 복합적으로 작용했음에 유의한다.</t>
  </si>
  <si>
    <t>[12역현04-02]</t>
  </si>
  <si>
    <t>탈냉전 이후 ‘제3 세계’ 국가의 권위주의 체제 변동에 따른 갈등 양상과 특징을 조사한다.</t>
  </si>
  <si>
    <t>권위주의 체제를 유지하던 ‘제3 세계’ 국가가 탈냉전 이후 시장 개방과 민주화의 요구 등으로 체제 변동을 경험하며 새로운 갈등을 겪었음에 주목한다. 갈등 전개의 원인을 파악할 때 역사적으로 식민주의 문제와 연관된 사례가 많았음에 유의한다.</t>
  </si>
  <si>
    <t>[12역현04-03]</t>
  </si>
  <si>
    <t>국내외 분쟁과 갈등을 해결하기 위한 역사 정책 사례를 탐구한다.</t>
  </si>
  <si>
    <t>탈냉전 이후 분쟁과 갈등을 조정하고 평화를 만들기 위한 역사 정책의 사례를 국가, 지역, 세계적 차원에서 찾아보고, 역사 정책의 실행 과정과 결과를 비교할 수 있도록 한다.</t>
  </si>
  <si>
    <t>[12역현05-01]</t>
  </si>
  <si>
    <t>경제의 세계화 이후 사회⋅경제적 변화를 국가, 지역, 세계적 차원에서 파악한다.</t>
  </si>
  <si>
    <t>경제의 세계화 이후 자본과 상품의 이동이 활발해지고 교류 및 이주가 활발해지면서 나타난 변화의 양상을 파악하며, 남북문제 등 불평등의 심화에 초점을 맞춘다.</t>
  </si>
  <si>
    <t>[12역현05-02]</t>
  </si>
  <si>
    <t>다문화 사회의 갈등 문제를 역사적으로 파악하고, 이를 해결하기 위해 노력한 사례를 조사한다.</t>
  </si>
  <si>
    <t>민족, 종족, 젠더, 종교, 이념 등의 차이를 근거로 차별과 혐오가 사회 문제로 부각되는 배경 및 과정에 초점을 맞춘다. 경제와 안전, 정체성 등을 이유로 다문화 사회의 포용 정책에 반대하는 주장이 존재하는 상황에서 시민 사회 및 국제기구의 역할에 주목한다.</t>
  </si>
  <si>
    <t>[12역현05-03]</t>
  </si>
  <si>
    <t>문화 다양성 관련 국제 규범의 형성 과정을 살펴보고, 그 의미와 한계를 탐구한다.</t>
  </si>
  <si>
    <t>문화 다양성을 존중하기 위한 국제 규범을 선정하여 탐구하고, 국제 규범의 가치를 이해하는 한편 규범의 등장 과정에서 제기된 논쟁과 갈등에 초점을 맞춘다.</t>
  </si>
  <si>
    <t>[12사탐01-01]</t>
  </si>
  <si>
    <t>사회문제의 의미와 특징을 이해하고, 사회문제를 바라보는 주요 관점을 비교한다.</t>
  </si>
  <si>
    <t>[12사탐01-02]</t>
  </si>
  <si>
    <t>사회문제에 대한 과학적 탐구의 필요성을 설명하고, 사회문제 탐구를 위한 연구 방법과 다양한 자료 수집 방법의 특징을 비교한다.</t>
  </si>
  <si>
    <t>는 사회문제의 해결을 위해서는 과학적 탐구가 필요하다는 점을 이해하고, 사회과학에서 활용하는 연구 방법과 자료 수집 방법을 적용하여 사회문제 탐구를 위한 절차와 방법을 설계할 수 있도록 설정된 것이다. 양적 연구 방법과 질적 연구 방법의 특징과 절차를 살펴보고, 다양한 자료 수집 방법(문헌 연구법, 질문지법, 실험법, 참여 관찰법, 면접법 등)의 유형 및 특징을 비교함으로써 사회문제 탐구의 과정에 적용할 수 있도록 한다.</t>
  </si>
  <si>
    <t>[12사탐01-03]</t>
  </si>
  <si>
    <t>다양한 자료 수집 방법을 적용한 실제 사례를 활용하여 수집된 자료를 분석하고 해석하는 방법을 설명한다.</t>
  </si>
  <si>
    <t>은 다양한 자료 수집 방법을 적용하여 사회문제를 탐구한 실제 사례를 통해 자료 분석 및 해석 능력, 추론 능력, 결론 도출 능력 등을 함양할 수 있도록 설정된 것이다. 각 자료수집 방법을 적용한 실제 사례를 토대로 통계 자료 및 질적 자료의 기초적인 분석과 해석 등을 다루어 자료 수집 및 분석 방법을 실제 사회문제 탐구 과정에서 어떻게 적용할 수 있는지를 파악하도록 한다.</t>
  </si>
  <si>
    <t>[12사탐01-04]</t>
  </si>
  <si>
    <t>사회문제의 탐구 과정에서 요구되는 연구 윤리를 설명하고, 연구 윤리를 준수하며 사회문제를 탐구하는 태도를 가진다.</t>
  </si>
  <si>
    <t>[12사탐02-01]</t>
  </si>
  <si>
    <t>일상생활에서 나타나는 성 불평등 문제의 실태를 조사하고, 원인과 해결 방안을 제시한다.</t>
  </si>
  <si>
    <t>은 일상생활에서 나타나는 다양한 성 불평등 문제의 실태를 조사하고, 성 불평등 문제를 바라보는 다양한 관점을 종합적으로 고려하여 성 불평등 현상이 발생하는 원인과 해결 방안을 탐구하기 위해 설정된 것이다. 가족 내 성 불평등 문제, 노동시장에서의 성차별 등 다양한 생활 영역에서의 성 불평등 양상과 문제점을 파악하고 해결 방안을 모색하도록 한다.</t>
  </si>
  <si>
    <t>[12사탐02-02]</t>
  </si>
  <si>
    <t>청소년의 미디어 이용 과정에서 나타나는 문제를 조사하고, 원인과 해결 방안을 제시한다.</t>
  </si>
  <si>
    <t>는 청소년의 일상에서 미디어가 차지하는 비중이 매우 큰 현실에서 미디어와 관련된 사회문제의 원인과 해결 방안을 학습자 스스로 탐구하도록 설정된 것이다. 미디어의 기능을 이해하고, 미디어 이용 과정에서 나타나는 대표적인 사회문제(예: 허위정보, 미디어 공간에서의 사회적 약자에 대한 편견이나 차별, 정보 여과 현상, 지식 재산권 침해 등)를 탐구함으로써 학생들이 자신의 미디어 이용 실태를 성찰하고 문제를 인식하여 능동적으로 해결할 수 있도록 한다.</t>
  </si>
  <si>
    <t>[12사탐03-01]</t>
  </si>
  <si>
    <t>저출산⋅고령화로 인해 발생하는 다양한 사회문제의 실태를 조사하고, 해결 방안을 제시한다.</t>
  </si>
  <si>
    <t>은 주요 선진국과 우리나라의 인구 구조에서 나타나고 있는 저출산⋅고령화 현상을 파악하고, 저출산⋅고령화로 인해 발생하는 사회문제의 해결 방안을 다양한 측면에서 모색하기 위해 설정된 것이다. 출생과 사망의 사회적 의의 등 사회현상으로서 인구 문제에 대한 기본적인 이해를 토대로 다양한 통계 및 시사 자료의 분석에 초점을 맞추어 저출산⋅고령화의 원인과 그로 인한 문제점을 파악하고 해결 방안을 제시할 수 있도록 한다.</t>
  </si>
  <si>
    <t>[12사탐03-02]</t>
  </si>
  <si>
    <t>인공지능 발전 과정에서 나타날 수 있는 다양한 사회문제를 탐색하고, 대응 방안을 제시한다.</t>
  </si>
  <si>
    <t>는 인공지능의 발전에 따라 나타날 수 있는 여러 사회문제를 예측하고, 이에 대응하는 방안을 다양한 측면에서 모색하기 위해 설정된 것이다. 인공지능의 발전 과정에서 나타날 수 있는 사회문제(예: 노동시장 변화로 인한 사회 양극화 문제, 인공지능의 편향성과 오류 문제, 개인의 사생활과 자율성 침해 문제 등)를 자유롭게 예측하고 창의적인 대응 방안을 모색하도록 한다.</t>
  </si>
  <si>
    <t>[12사탐04-01]</t>
  </si>
  <si>
    <t>일상생활에서 경험하는 사회문제 중 하나를 선정하여 해당 문제에 대한 다양한 관점을 비교하고, 이를 바탕으로 문제 해결을 위한 탐구 계획을 수립한다.</t>
  </si>
  <si>
    <t>~는 지금까지 학습한 다양한 사회문제 탐구 경험을 토대로 학습자가 직접 사회문제를 선정하고, 탐구 계획을 수립하여 해결 방안을 도출하는 과정을 보고서로 작성하여 발표하기 위해 설정된 것이다. 이를 통해 사회문제에 관심을 갖고, 문제 해결을 위해 적극적으로 참여하는 태도를 가질 수 있도록 한다.</t>
  </si>
  <si>
    <t>[12사탐04-02]</t>
  </si>
  <si>
    <t>탐구 계획에 적합한 자료 수집 방법을 적용하여 자신이 선정한 사회문제에 관한 자료를 수집한다.</t>
  </si>
  <si>
    <t>[12사탐04-03]</t>
  </si>
  <si>
    <t>수집한 자료에 대한 분석과 해석을 토대로 사회문제에 대한 해결 방안을 제시한다.</t>
  </si>
  <si>
    <t>[12사탐04-04]</t>
  </si>
  <si>
    <t>자신의 사회문제 탐구 과정과 결과를 연구 보고서로 작성하여 발표하고, 사회문제 해결을 위한 참여는 사회 구성원으로서의 권리이자 의무라는 점을 인식하며 해결 방안을 적극적으로 실천한다.</t>
  </si>
  <si>
    <t>[12금융01-01]</t>
  </si>
  <si>
    <t>행복하고 안전한 금융 생활에 필요한 금융 정보를 탐색하고 평가하며, 단기와 장기의 관점을 고려하여 합리적인 금융 의사 결정을 한다.</t>
  </si>
  <si>
    <t>에서는 자원의 희소성과 선택의 문제를 이해하고, 다양한 경로를 통해 합리적인 금융 의사 결정에 필요한 정보를 수집하고 평가해 본다. 단기와 장기의 관점에 따라 금융 의사 결정이 달라질 수 있음을 파악하고, 자신의 재무적 특성과 비재무적 특성 및 거시적 요인(금리, 환율, 물가 상승률 등)을 고려한 금융 의사 결정이 필요함을 이해한다.</t>
  </si>
  <si>
    <t>[12금융01-02]</t>
  </si>
  <si>
    <t>디지털 금융 환경에서 나타난 금융 서비스의 변화된 특징을 이해하고 디지털 금융 서비스를 효과적으로 이용한다.</t>
  </si>
  <si>
    <t>에서는 금융 환경 변화의 흐름을 파악하고 디지털 금융 환경에서 이용 가능한 금융 서비스를 탐색한다. 인터넷 뱅킹이나 모바일 뱅킹, 간편 결제 서비스, 전자화폐 등 학생들이 실생활에서 쉽게 접할 수 있는 금융 서비스의 이용 방법과 주의사항을 학습하여 디지털 금융 서비스를 효과적으로 활용할 수 있는 역량을 기르는 데 중점을 둔다.</t>
  </si>
  <si>
    <t>[12금융01-03]</t>
  </si>
  <si>
    <t>안전한 금융 거래를 위한 계약(약관)의 중요성을 인식하고, 금융 사기 예방과 피해 구제를 위해 마련된 주요 금융 소비자 보호 제도를 탐구한다.</t>
  </si>
  <si>
    <t>에서는 계약(약관) 내용을 제대로 확인하고 신중한 금융 거래를 실천할 필요가 있음을 이해한다. 피싱, 스미싱, 파밍, 해킹과 같은 금융 사기 피해를 예방하고, 금융 소비자 보호 제도를 탐색하여 금융 사기 피해 발생 시 대처 역량을 기르는 데 중점을 둔다.</t>
  </si>
  <si>
    <t>[12금융02-01]</t>
  </si>
  <si>
    <t>소득이 수입의 주요 원천임을 이해하고 소득에 영향을 미치는 다양한 요인을 탐구한다.</t>
  </si>
  <si>
    <t>에서는 직업과 교육 수준, 기술, 사회적 기여도, 인지도, 보유 자산 등 소득에 영향을 미치는 다양한 요인을 탐구하고 각 요인들이 미치는 영향을 소득의 종류(근로 소득, 사업 소득, 재산 소득 등)와 연관지어 파악한다. 또한 총소득과 처분 가능 소득을 구분하고 세금이나 사회 보험료, 대출 이자와 같은 고정적인 지출이 처분 가능 소득에 영향을 미치는 요인임을 이해한다.</t>
  </si>
  <si>
    <t>[12금융02-02]</t>
  </si>
  <si>
    <t>소비 지출과 비소비 지출을 구분하고 지출에 영향을 미치는 요인을 파악하여 합리적인 소비를 실천한다.</t>
  </si>
  <si>
    <t>에서는 지출의 유형을 재화나 서비스를 구매하기 위한 소비 지출과 세금, 사회 보험료, 대출 이자와 같이 의무적으로 지불해야 하는 비소비 지출로 구분하여 학습한다. 지불수단(예: 현금, 카드, 전자화폐 등) 및 지불방법(예: 일시불, 할부 등)의 장⋅단점을 비교하여 자신에게 적합한 지불수단과 방법을 활용하며, 주어진 예산 제약 내에서 비용과 편익을 고려하여 만족을 극대화하는 합리적 소비 습관을 기르는 데 중점을 둔다.</t>
  </si>
  <si>
    <t>[12금융02-03]</t>
  </si>
  <si>
    <t>예산의 의미와 예산 관리 방법을 이해하고 자신의 금융 생활에서 예산을 수립⋅점검⋅평가한다.</t>
  </si>
  <si>
    <t>에서는 생애 주기에 따른 기대 수입과 항목별 지출 계획을 구체적으로 예상해 보고, 소득, 저축과 투자, 고정지출과 변동지출 등을 고려하여 예산 관리 계획을 수립해 본다. 우선순위와 현실성 등을 고려하여 수립한 예산을 점검⋅평가하며 건전한 예산 관리를 실천하는 태도를 기르는 데 중점을 둔다.</t>
  </si>
  <si>
    <t>[12금융03-01]</t>
  </si>
  <si>
    <t>저축의 경제적 의의와 다양한 저축 상품의 특징을 이해하고 저축에 영향을 미치는 요인을 탐구한다.</t>
  </si>
  <si>
    <t>에서는 소비와 저축의 관계를 이해하고 저축의 경제적 의의를 개인적 측면과 사회적 측면에서 살펴본다. 예금, 적금, 주택종합청약저축 등 다양한 종류의 저축 상품을 비교하며 각 상품의 특징을 탐색하고 이자, 세금, 물가 등 저축에 영향을 주는 요인을 고려하여 저축에 대한 의사 결정을 내려야 함을 이해한다.</t>
  </si>
  <si>
    <t>[12금융03-02]</t>
  </si>
  <si>
    <t>기본적인 금융 투자 상품의 종류와 특징을 이해하고 투자에 영향을 미치는 요인을 탐구한다.</t>
  </si>
  <si>
    <t>에서는 주식, 채권, 펀드 등 다양한 금융 투자 상품의 특징을 비교하고, 금리, 인플레이션, 환율과 같은 거시 경제 지표와 국내외 경제 이슈, 투자 정보 등 투자에 영향을 미치는 여러 요인을 탐색한다. 또한 다양한 경로로 얻게 되는 투자 정보 중 신뢰할 수 있는 정보를 선별하는 것의 중요성을 인식하도록 한다.</t>
  </si>
  <si>
    <t>[12금융03-03]</t>
  </si>
  <si>
    <t>저축과 투자의 장단점을 고려하여 자기 책임의 원칙에 따라 저축과 투자를 결정하며, 활용할 수 있는 예금자 보호 제도와 투자자 보호 제도를 탐색한다.</t>
  </si>
  <si>
    <t>에서는 저축과 투자를 결정할 때는 안전성과 수익성, 유동성을 고려해야 함을 이해하고, 불확실성과 위험에 따른 선택의 책임은 본인에게 있음을 인식하도록 한다. 금융 피해 보호를 위해 마련된 예금자 보호 제도와 투자자 보호 제도의 구체적인 내용과 활용 방법을 파악하고 이러한 제도들이 모든 금융 피해를 구제해 주는 것은 아니라는 점을 이해한다.</t>
  </si>
  <si>
    <t>[12금융04-01]</t>
  </si>
  <si>
    <t>신용 사용의 결과를 고려한 책임감 있는 신용 관리 태도를 기르고, 신용에 영향을 미치는 요인을 파악하여 자신의 신용을 효과적으로 관리하는 방법을 탐구한다.</t>
  </si>
  <si>
    <t>에서는 신용의 의미를 이해하고 신용을 사용할 때는 이자, 할부 수수료, 카드 연회비 등 비용이 발생함을 이해한다. 직업과 연봉, 보유 자산, 각종 공과금과 통신비 등의 납부 내역, 금융 거래 내역 등 신용에 영향을 미치는 요인을 파악하고, 신용 점수 하락을 방지하고 효과적인 신용 관리 습관을 기르는 데 중점을 둔다. 또한 신용 회복 위원회의 채무 조정 제도와 법원의 개인 회생 제도 등 신용 회복 지원 제도에 대해서도 다루어 본다.</t>
  </si>
  <si>
    <t>[12금융04-02]</t>
  </si>
  <si>
    <t>위험 관리의 필요성과 위험 관리 방법으로서 보험의 원리를 이해하고, 주요 보험 상품의 특징을 비교한다.</t>
  </si>
  <si>
    <t>에서는 질병, 상해, 사망, 사고, 재산 손해 등 생활 속에서 경험할 수 있는 다양한 유형의 위험을 살펴보고, 재무적⋅비재무적 비용을 고려한 위험 관리가 필요함을 이해한다. 적극적인 위험 관리 수단인 보험을 사회 보험과 민영 보험으로 구분하고, 시중에 판매되고 있는 주요 보험 상품(실손 보험, 자동차 보험, 화재 보험 등)의 보장 내용과 보장 범위, 보장 기간, 보험료 등을 구체적으로 조사해 본다.</t>
  </si>
  <si>
    <t>[12금융04-03]</t>
  </si>
  <si>
    <t>고령 사회에서 노후 설계의 필요성을 이해하고, 연금의 종류와 특징을 파악하여 안정적인 노후 대비 계획을 설계한다.</t>
  </si>
  <si>
    <t>에서는 기대 수명 연장을 고려하여 은퇴 후 생활에 필요한 비용을 예상해 보고 이를 충당할 수 있는 재원 마련 방안을 탐색해 본다. 노후 대비를 일찍 시작하는 것의 중요성을 이해하고, 노후 대비 방안 중 하나인 연금을 공적 연금과 퇴직 연금, 개인 연금 등으로 구분하여 비교해 본 후 연금 선택 시 고려 사항(세금, 물가, 기회비용 등)에 대해서도 다루어 본다.</t>
  </si>
  <si>
    <t>[12기지01-01]</t>
  </si>
  <si>
    <t>지구적 차원에서 나타나는 기후변화의 심각성을 사례를 통해 파악하고, 기후변화를 바라보는 관점의 다양성을 이해한다.</t>
  </si>
  <si>
    <t>은 기후변화로 인해 나타난 문제를 지구적 차원에서 살펴보고, 관련 사례를 선정하여 문제의 심각성을 파악하며, 기후변화의 영향을 다양한 관점(예: 낙관론자, 회의론자 등)에서 살펴본다. 궁극적으로 학습자가 기후변화의 심각성을 파악하고, 기후변화에 대한 관점의 다양성을 이해하는 데 중점을 둔다.</t>
  </si>
  <si>
    <t>[12기지01-02]</t>
  </si>
  <si>
    <t>기후변화는 자연적 요인뿐만 아니라 인간의 다양한 활동 및 산업과 관련되어 있다는 점을 이해하고, 탄소중립을 위한 사회 변화의 방향을 탐구한다.</t>
  </si>
  <si>
    <t>는 기후변화의 요인을 자연적 요인, 인위적 요인으로 구분하여 살펴보고 산업과 관련된 탄소배출 문제에 중점을 두면서 탄소중립 사회를 위한 사회적 과제 해결 탐구에 초점을 맞춘다. 특히, 기후변화에 영향을 주는 고탄소 배출 산업의 사례로 에너지 산업, 플라스틱 등의 석유화학 산업, 축산업 등을 활용해 볼 수 있다.</t>
  </si>
  <si>
    <t>[12기지02-01]</t>
  </si>
  <si>
    <t>세계 여러 지역에서 발생하고 있는 기후재난의 실제를 파악하고, 이를 둘러싼 쟁점을 다양한 자료를 통하여 분석한다.</t>
  </si>
  <si>
    <t>은 세계에서 발생하는 기후재난의 사례(산불, 가뭄, 해양 산성화, 미세먼지, 질병, 해수면 상승, 경제적 빈곤과 굶주림 등)를 활용하여 문제의 실태와 원인, 인간 생활에 미친 영향, 그리고 관련한 쟁점을 분석하는 데 중점을 둔다.</t>
  </si>
  <si>
    <t>[12기지02-02]</t>
  </si>
  <si>
    <t>기후변화의 영향은 지리적 조건 및 사회적⋅경제적 조건에 따라 차별적으로 나타나고 있음을 이해하고, 이와 관련한 쟁점과 사례를 조사한다.</t>
  </si>
  <si>
    <t>에서는 기후변화의 영향이 지리적 조건, 세대, 연령, 성별, 집단 등에 따라 다르게 나타남을 파악하여 글로벌 차원에서 기후변화가 미치는 차별적 영향을 이해하도록 한다. 관련 쟁점 및 사례는 지역사회를 포함하여 글로벌 차원에서 적정하게 선정할 수 있다.</t>
  </si>
  <si>
    <t>[12기지02-03]</t>
  </si>
  <si>
    <t>기후정의의 관점에서 기후변화에 따른 불평등 문제의 해결 방안을 모색하고, 기후변화에 대한 인간의 책임과 의무에 대해 성찰한다.</t>
  </si>
  <si>
    <t>은 기후정의의 의미와 적용의 가치를 명확하게 이해하고 기후변화의 불평등한 영향을 기후정의의 관점에서 파악하도록 한다. 그리고 공동의 책임에 대한 이해를 바탕으로 기후변화에 대한 책임과 의무의 성찰이 이루어지도록 한다.</t>
  </si>
  <si>
    <t>[12기지03-01]</t>
  </si>
  <si>
    <t>기후변화 대응을 위한 국제 사회의 협력과 시민사회의 노력 사례를 조사하고 기후변화를 둘러싼 이해당사자들의 서로 다른 입장과 가치를 비교한다.</t>
  </si>
  <si>
    <t>는 기후변화 문제를 해결하기 위해 국제 사회의 협력 및 환경 비정부기구(NGO)의 다양한 연대와 관련한 노력을 실제 사례들을 통해 파악하고 기후변화 문제에 대한 대응에 있어 다양한 이해당사자들의 입장을 분석하고 비교하기 위해 설정한 것이다. 여기에서는 기후변화를 둘러싼 이해당사자들 특히 기후변화에 취약한 국가와 집단들의 입장 분석과 관련하여 기후정의의 관점에서 공동의 차별화된 책임에 대한 이해를 바탕으로 접근한다.</t>
  </si>
  <si>
    <t>[12기지03-02]</t>
  </si>
  <si>
    <t>기후변화 문제와 관련하여 국가 차원의 대응으로서 정치, 사회, 경제 영역에서의 생태전환을 위한 실천 사례를 조사하고, 이를 분석 평가한다.</t>
  </si>
  <si>
    <t>는 기후변화 문제에 대응하기 위하여 국가적 차원에서 이루어지는 노력 가운데 정치, 사회, 경제 영역에서의 생태전환에 대한 이해에 기반하여 다양한 사례를 살펴보기 위해 설정된 것이다. 특히 기후변화 대응을 위한 탄소중립⋅녹색성장 등 환경 및 경제 정책과 저탄소 에너지 기반 경제 체제로의 전환, 비인간에게 권리를 부여한 환경법과 관련한 다양한 사례 등을 조사한 후 그 의의와 시사점을 도출해 보도록 하고, 그러한 사례들이 기후정의와 지속가능성의 측면에서 적절한 사례인지 분석하고 평가하도록 한다.</t>
  </si>
  <si>
    <t>[12기지03-03]</t>
  </si>
  <si>
    <t>지역 공동체의 생태전환을 위한 다양한 노력 사례를 조사하고 지역의 지속가능한 사회⋅생태 체계를 탐색한다.</t>
  </si>
  <si>
    <t>은 지속가능한 세계를 만들기 위한 지역사회의 다양한 생태전환 노력에 대한 이해를 바탕으로 지속가능한 사회⋅생태 체계를 탐색하기 위해 설정한 것이다. 여기에서는 지역사회의 생태전환을 위한 실천 가운데 생태도시, 전환마을, 공유재 등을 통한 회복 탄력성과 지속가능성을 갖춘 지역사회로의 전환과 관련한 다양한 사례를 중심으로 지속가능한 사회의 구성요소, 원리 등에 대한 탐색과 자신이 살아가는 가정, 학교, 지역을 지속가능한 사회 생태 체계로 만들어 가기 위한 탐구 과정을 통해 깊이 있는 학습이 이루어지도록 한다.</t>
  </si>
  <si>
    <t>[12기지03-04]</t>
  </si>
  <si>
    <t>기후변화에 대응하기 위한 적정기술과 순환경제의 역할의 중요성을 파악하고, 에너지 전환의 중요성에 대한 이해를 바탕으로 지속가능한 세계의 모습을 제안한다.</t>
  </si>
  <si>
    <t>인간과 환경이 공존할 수 있는 생산 및 소비 구조를 만드는 데 있어 적정기술과 순환경제의 의미와 중요성을 학습해 가는 과정에서 특히 지역별 사례를 조사하여 지역사회에 적용할 수 있는 방안을 모색해 보는 탐구 기회를 제공하도록 한다. 또한 지속가능한 미래를 위하여 에너지 분야에서 저탄소 전력을 공급할 수 있는 에너지 전환의 중요성을 이해하도록 한다. 이를 위하여 에너지 생산과 소비의 지역 간 불평등으로 인한 쟁점을 조사하고, 지속가능한 사회의 실현은 정의로운 에너지 전환을 위한 시민의 참여와 역량 강화를 지향하는 에너지 민주주의 실천과 밀접하게 관계되어 있다는 점에 강조점을 둔다.</t>
  </si>
  <si>
    <t>[12기지04-01]</t>
  </si>
  <si>
    <t>지속가능발전목표(SDGs)의 의미를 이해하고, 이의 실천과 관련한 지역 사례들을 조사하여 환경적, 경제적, 사회적 측면에서 통합적으로 분석한다.</t>
  </si>
  <si>
    <t>은 지속가능발전목표(SDGs)의 등장 배경 및 주요 내용을 이해하고, 지속가능발전목표 이행과 관련하여 지역사회에서 실천되는 다양한 노력 사례를 살펴본 후 이를 통합적 관점에서 분석해 보도록 한다. 여기에서는 지속가능발전목표의 지역화 사례를 통해 지속가능한 사회 체제의 요소, 조건과 원리 등을 탐구하도록 한다.</t>
  </si>
  <si>
    <t>[12기지04-02]</t>
  </si>
  <si>
    <t>지속가능한 세계는 개인의 일상생활 방식과 관련되어 있음을 이해하고, 다양한 소비 영역에서 요구되는 지속가능한 생활방식을 탐색하고 실천 방안을 제안한다.</t>
  </si>
  <si>
    <t>는 지속가능한 미래 사회의 실현은 일상생활에서 발현되는 개인의 생태적 정체성과 밀접하게 연결되어 있음을 인식하고 음식, 교통, 주거 등과 관련한 지속가능한 생활양식 사례를 조사하여 자신의 일상생활에서 실천할 수 있는 방안을 탐색해 보도록 한다. 특히 소비 영역에서의 지속가능한 생활양식 탐색은 쟁점 중심의 탐구에 초점을 두고 이루어지도록 한다.</t>
  </si>
  <si>
    <t>[12기지04-03]</t>
  </si>
  <si>
    <t>정의, 책임 그리고 배려 등과 같은 생태시민의 덕목을 사례 탐구를 통해 이해하고, 인간 및 비인간이 함께 평화롭게 살아가는 공존의 세계를 위한 다층적 스케일에서의 실천 방안을 찾아 적극적으로 참여한다.</t>
  </si>
  <si>
    <t>은 자신과 지구상의 모든 존재들이 연결되어 있음을 파악하는 관계적 사고에 기반하여 발현되는 생태시민의 정의, 책임, 배려 등과 같은 덕목을 이해한다. 또한 생태시민의 덕목이 인간 및 비인간 존재들에게까지 확장되어야 할 필요성을 다양한 사례 탐구를 통해 강조하면서 깊이 있는 학습이 이루어지도록 하는데 주안점을 둔다. 공존의 세계를 만들어가기 위한 지역, 국가, 세계적 차원에서 이루어지는 실천 방안을 찾아 보고 이에 대한 적극적 참여의 중요성을 인식하도록 한다.</t>
  </si>
  <si>
    <t>[9수01-01]</t>
  </si>
  <si>
    <t>소인수분해의 뜻을 알고, 자연수를 소인수분해 할 수 있다.</t>
  </si>
  <si>
    <t>[9수01-02]</t>
  </si>
  <si>
    <t>소인수분해를 이용하여 최대공약수와 최소공배수를 구할 수 있다.</t>
  </si>
  <si>
    <t>초등학교에서 학습한 최대공약수와 최소공배수의 개념을 바탕으로 소인수분해를 이용하여 최대공약수와 최소공배수를 구하게 한다. 최대공약수와 최소공배수는 자연수의 소인수분해를 이용하는 범위에서 다루고, 최대공약수와 최소공배수의 활용 문제는 다루지 않는다.</t>
  </si>
  <si>
    <t>[9수01-03]</t>
  </si>
  <si>
    <t>다양한 상황을 이용하여 음수의 필요성을 인식하고, 양수와 음수, 정수와 유리수의 개념을 이해한다.</t>
  </si>
  <si>
    <t>[9수01-04]</t>
  </si>
  <si>
    <t>정수와 유리수의 대소 관계를 판단할 수 있다.</t>
  </si>
  <si>
    <t>[9수01-05]</t>
  </si>
  <si>
    <t>정수와 유리수의 사칙계산의 원리를 이해하고, 그 계산을 할 수 있다.</t>
  </si>
  <si>
    <t>정수의 사칙계산의 원리는 여러 가지 모델을 이용하여 직관적으로 이해하게 하고, 실생활에서 사칙계산의 유용성을 인식하게 한다.</t>
  </si>
  <si>
    <t>[9수01-06]</t>
  </si>
  <si>
    <t>순환소수의 뜻을 알고, 유리수와 순환소수의 관계를 설명할 수 있다.</t>
  </si>
  <si>
    <t>순환소수를 분수로 고치는 것은 순환소수가 유리수임을 이해할 수 있는 정도로 다룬다. 유한소수를 순환소수로 나타내는 것은 다루지 않는다.</t>
  </si>
  <si>
    <t>[9수01-07]</t>
  </si>
  <si>
    <t>제곱근의 뜻과 성질을 알고, 제곱근의 대소 관계를 판단할 수 있다.</t>
  </si>
  <si>
    <t>[9수01-08]</t>
  </si>
  <si>
    <t>무리수의 개념을 이해하고, 무리수의 유용성을 인식할 수 있다.</t>
  </si>
  <si>
    <t>실생활에서 사용되는 무리수의 예를 찾아보는 활동을 통해 무리수의 필요성과 유용성을 인식하게 한다. 실수는 유리수와 무리수로 이루어짐을 이해하게 하고, 수 체계의 논리적인 아름다움에 관심을 갖게 한다.</t>
  </si>
  <si>
    <t>[9수01-09]</t>
  </si>
  <si>
    <t>실수의 대소 관계를 판단하고 설명할 수 있다.</t>
  </si>
  <si>
    <t>[9수01-10]</t>
  </si>
  <si>
    <t>근호를 포함한 식의 사칙계산의 원리를 이해하고, 그 계산을 할 수 있다.</t>
  </si>
  <si>
    <t>[9수02-01]</t>
  </si>
  <si>
    <t>다양한 상황을 문자를 사용한 식으로 나타내어 그 유용성을 인식하고, 식의 값을 구할 수 있다.</t>
  </si>
  <si>
    <t>[9수02-02]</t>
  </si>
  <si>
    <t>일차식의 덧셈과 뺄셈의 원리를 이해하고, 그 계산을 할 수 있다.</t>
  </si>
  <si>
    <t>[9수02-03]</t>
  </si>
  <si>
    <t>방정식과 그 해의 뜻을 알고, 등식의 성질을 설명할 수 있다.</t>
  </si>
  <si>
    <t>[9수02-04]</t>
  </si>
  <si>
    <t>일차방정식을 풀 수 있고, 이를 활용하여 문제를 해결할 수 있다.</t>
  </si>
  <si>
    <t>[9수02-05]</t>
  </si>
  <si>
    <t>순서쌍과 좌표를 이해하고, 그 편리함을 인식할 수 있다.</t>
  </si>
  <si>
    <t>실생활에서 좌표가 사용되는 예를 찾아보고 이를 수직선과 좌표평면 위에 표현해 보며, 그 유용성과 편리함을 인식하게 한다.</t>
  </si>
  <si>
    <t>[9수02-06]</t>
  </si>
  <si>
    <t>다양한 상황을 그래프로 나타내고, 주어진 그래프를 해석할 수 있다.</t>
  </si>
  <si>
    <t>다양한 상황을 그래프로 나타내어 증가와 감소, 주기적 변화 등 변화 상태를 쉽게 파악할 수 있게 한다. 주어진 그래프를 해석하여 그래프가 나타내는 상황을 설명하게 함으로써 그래프의 유용성을 인식하게 한다.</t>
  </si>
  <si>
    <t>[9수02-07]</t>
  </si>
  <si>
    <t>정비례, 반비례 관계를 이해하고, 그 관계를 표, 식, 그래프로 나타낼 수 있다.</t>
  </si>
  <si>
    <t>속력과 거리, 속력과 시간과 같은 실생활의 예를 통해 정비례와 반비례 관계를 직관적으로 이해하게 하고, 정비례와 반비례 관계가 성립하는 실생활의 예를 찾아 설명하게 한다.</t>
  </si>
  <si>
    <t>[9수02-08]</t>
  </si>
  <si>
    <t>지수법칙을 이해하고, 이를 이용하여 식을 간단히 할 수 있다.</t>
  </si>
  <si>
    <t>지수법칙은 지수가 자연수인 범위에서 단항식의 곱셈과 나눗셈을 하는 데 필요한 정도로 다룬다.</t>
  </si>
  <si>
    <t>[9수02-09]</t>
  </si>
  <si>
    <t>다항식의 덧셈과 뺄셈의 원리를 이해하고, 그 계산을 할 수 있다.</t>
  </si>
  <si>
    <t>[9수02-10]</t>
  </si>
  <si>
    <t>‘(단항식)×(다항식)’, ‘(다항식)÷(단항식)’과 같은 곱셈과 나눗셈의 원리를 이해하고, 그 계산을 할 수 있다.</t>
  </si>
  <si>
    <t>다항식의 나눗셈에서는 다항식을 단항식으로 나누어 그 몫이 다항식이 되는 경우만 다룬다.</t>
  </si>
  <si>
    <t>[9수02-11]</t>
  </si>
  <si>
    <t>부등식과 그 해의 뜻을 알고, 부등식의 성질을 설명할 수 있다.</t>
  </si>
  <si>
    <t>[9수02-12]</t>
  </si>
  <si>
    <t>일차부등식을 풀 수 있고, 이를 활용하여 문제를 해결할 수 있다.</t>
  </si>
  <si>
    <t>[9수02-13]</t>
  </si>
  <si>
    <t>미지수가 2개인 연립일차방정식을 풀 수 있고, 이를 활용하여 문제를 해결할 수 있다.</t>
  </si>
  <si>
    <t>[9수02-14]</t>
  </si>
  <si>
    <t>함수의 개념을 이해하고, 함숫값을 구할 수 있다.</t>
  </si>
  <si>
    <t>[9수02-15]</t>
  </si>
  <si>
    <t>일차함수의 개념을 이해하고, 그 그래프를 그릴 수 있다.</t>
  </si>
  <si>
    <t>[9수02-16]</t>
  </si>
  <si>
    <t>일차함수의 그래프의 성질을 이해하고, 이를 활용하여 문제를 해결할 수 있다.</t>
  </si>
  <si>
    <t>[9수02-17]</t>
  </si>
  <si>
    <t>일차함수와 미지수가 2개인 일차방정식의 관계를 설명할 수 있다.</t>
  </si>
  <si>
    <t>[9수02-18]</t>
  </si>
  <si>
    <t>두 일차함수의 그래프와 연립일차방정식의 관계를 설명할 수 있다.</t>
  </si>
  <si>
    <t>[9수02-19]</t>
  </si>
  <si>
    <t>다항식의 곱셈과 인수분해를 할 수 있다.</t>
  </si>
  <si>
    <t>다항식의 곱셈과 다항식의 인수분해의 역관계를 이해하고, 이와 유사한 관계를 찾아보는 활동을 하게 한다. 다항식의 곱셈과 인수분해는 다음의 경우를 다룬다. m(a+b)=ma+mb, (a+b)²=a²+2ab+b², (a-b)²=a²-2ab+b², (a+b)(a-b)=a²-b², (x+a)(x+b)=x²+(a+b)x+ab, (ax+b)(cx+d)=acx²+(ad+bc)x+bd</t>
  </si>
  <si>
    <t>[9수02-20]</t>
  </si>
  <si>
    <t>이차방정식을 풀 수 있고, 이를 활용하여 문제를 해결할 수 있다.</t>
  </si>
  <si>
    <t>[9수02-21]</t>
  </si>
  <si>
    <t>이차함수의 개념을 이해한다.</t>
  </si>
  <si>
    <t>[9수02-22]</t>
  </si>
  <si>
    <t>이차함수의 그래프를 그릴 수 있고, 그 성질을 설명할 수 있다.</t>
  </si>
  <si>
    <t>이차함수 y=f(x)에서 최댓값과 최솟값은 x의 범위가 실수 전체인 경우만 다룬다.</t>
  </si>
  <si>
    <t>[9수03-01]</t>
  </si>
  <si>
    <t>점, 선, 면, 각을 이해하고, 실생활 상황과 연결하여 점, 직선, 평면의 위치 관계를 설명할 수 있다.</t>
  </si>
  <si>
    <t>점, 선, 면, 각과 관련된 용어는 다양한 상황에서 직관적으로 이해하게 한다.</t>
  </si>
  <si>
    <t>[9수03-02]</t>
  </si>
  <si>
    <t>평행선에서 동위각과 엇각의 성질을 이해하고 설명할 수 있다.</t>
  </si>
  <si>
    <t>[9수03-03]</t>
  </si>
  <si>
    <t>삼각형을 작도하고, 그 과정을 설명할 수 있다.</t>
  </si>
  <si>
    <t>주어진 삼각형과 합동인 삼각형을 작도하는 활동을 하고, 자신의 방법을 설명하게 한다.</t>
  </si>
  <si>
    <t>[9수03-04]</t>
  </si>
  <si>
    <t>삼각형의 합동 조건을 이해하고, 이를 이용하여 두 삼각형이 합동인지 판별할 수 있다.</t>
  </si>
  <si>
    <t>[9수03-05]</t>
  </si>
  <si>
    <t>다각형의 성질을 이해하고 설명할 수 있다.</t>
  </si>
  <si>
    <t>삼각형의 내각과 외각의 크기, 다각형의 내각과 외각의 크기의 합, 다각형의 대각선의 개수를 구하는 과정을 탐구하여 다각형의 성질을 추측하고 일반화할 수 있게 한다.</t>
  </si>
  <si>
    <t>[9수03-06]</t>
  </si>
  <si>
    <t>부채꼴의 중심각과 호의 관계를 이해하고, 이를 이용하여 부채꼴의 호의 길이와 넓이를 구할 수 있다.</t>
  </si>
  <si>
    <t>[9수03-07]</t>
  </si>
  <si>
    <t>구체적인 모형이나 공학 도구를 이용하여 다면체와 회전체의 성질을 탐구하고, 이를 설명할 수 있다.</t>
  </si>
  <si>
    <t>구체적인 사물, 전개도, 교구, 컴퓨터 프로그램 등을 이용하여 다면체와 회전체를 관찰하고 그 성질을 탐구하게 한다. 회전체 단면의 모양은 회전체의 성질을 이해하는 데 필요한 정도로 다룬다.</t>
  </si>
  <si>
    <t>[9수03-08]</t>
  </si>
  <si>
    <t>입체도형의 겉넓이와 부피를 구할 수 있다.</t>
  </si>
  <si>
    <t>[9수03-09]</t>
  </si>
  <si>
    <t>이등변삼각형의 성질을 이해하고 정당화할 수 있다.</t>
  </si>
  <si>
    <t>종이접기, 작도, 공학 도구 등을 이용하여 이등변삼각형의 성질을 추측하게 하고, 그 성질을 삼각형의 합동 조건을 이용하여 정당화할 수 있게 한다. 이때, 증명이라는 용어를 도입하고, 그 필요성을 인식하게 한다.</t>
  </si>
  <si>
    <t>[9수03-10]</t>
  </si>
  <si>
    <t>삼각형의 외심과 내심의 성질을 이해하고 정당화할 수 있다.</t>
  </si>
  <si>
    <t>[9수03-11]</t>
  </si>
  <si>
    <t>사각형의 성질을 이해하고 정당화할 수 있다.</t>
  </si>
  <si>
    <t>사각형의 성질은 대각선에 관한 성질을 위주로 다룬다. 여러 가지 사각형의 성질을 통해 사각형 사이의 관계를 설명하게 한다.</t>
  </si>
  <si>
    <t>[9수03-12]</t>
  </si>
  <si>
    <t>도형의 닮음의 뜻과 닮은 도형의 성질을 이해하고, 닮음비를 구할 수 있다.</t>
  </si>
  <si>
    <t>[9수03-13]</t>
  </si>
  <si>
    <t>삼각형의 닮음 조건을 이해하고, 이를 이용하여 두 삼각형이 닮음인지 판별할 수 있다.</t>
  </si>
  <si>
    <t>[9수03-14]</t>
  </si>
  <si>
    <t>평행선 사이의 선분의 길이의 비를 구할 수 있다.</t>
  </si>
  <si>
    <t>[9수03-15]</t>
  </si>
  <si>
    <t>피타고라스 정리를 이해하고 정당화할 수 있다.</t>
  </si>
  <si>
    <t>피타고라스 정리는 다양한 활동을 통하여 추측하고 정당화할 수 있게 한다. 피타고라스 정리의 역은 직관적으로 이해하게 하고, 이를 이용하여 세 변의 길이가 주어진 삼각형이 직각삼각형인지 판별하게 한다.</t>
  </si>
  <si>
    <t>[9수03-16]</t>
  </si>
  <si>
    <t>삼각비의 뜻을 알고, 간단한 삼각비의 값을 구할 수 있다.</t>
  </si>
  <si>
    <t>[9수03-17]</t>
  </si>
  <si>
    <t>삼각비를 활용하여 여러 가지 문제를 해결할 수 있다.</t>
  </si>
  <si>
    <t>삼각비를 활용하여 직접 측정하기 어려운 거리나 높이 등을 구해 보는 활동을 통해 유용성을 인식하고 흥미를 느낄 수 있게 한다.</t>
  </si>
  <si>
    <t>[9수03-18]</t>
  </si>
  <si>
    <t>원의 현에 관한 성질과 접선에 관한 성질을 이해하고 정당화할 수 있다.</t>
  </si>
  <si>
    <t>[9수03-19]</t>
  </si>
  <si>
    <t>원주각의 성질을 이해하고 정당화할 수 있다.</t>
  </si>
  <si>
    <t>[9수04-01]</t>
  </si>
  <si>
    <t>중앙값, 최빈값의 뜻을 알고, 자료의 특성에 따라 적절한 대푯값을 선택하여 구할 수 있다.</t>
  </si>
  <si>
    <t>대푯값에는 초등학교에서 학습한 평균 이외에도 중앙값, 최빈값이 있음을 알고 그 필요성을 인식하게 한다. 자료의 특성에 따라 적절한 대푯값을 선택하여 구해 보고, 각 대푯값이 어떤 상황에서 유용하게 사용될 수 있는지 토론하게 한다.</t>
  </si>
  <si>
    <t>[9수04-02]</t>
  </si>
  <si>
    <t>자료를 줄기와 잎 그림, 도수분포표, 히스토그램, 도수분포다각형으로 나타내고 해석할 수 있다.</t>
  </si>
  <si>
    <t>[9수04-03]</t>
  </si>
  <si>
    <t>상대도수를 구하고, 상대도수의 분포를 표나 그래프로 나타내고 해석할 수 있다.</t>
  </si>
  <si>
    <t>상대도수는 도수의 총합이 다른 두 집단의 분포를 비교하는 상황에서 간단히 다루고, 상대도수의 필요성과 유용성을 인식하게 한다.</t>
  </si>
  <si>
    <t>[9수04-04]</t>
  </si>
  <si>
    <t>통계적 탐구 문제를 설정하고, 공학 도구를 이용하여 자료를 수집하여 분석하고, 그 결과를 해석할 수 있다.</t>
  </si>
  <si>
    <t>다양한 맥락에서 해결하고자 하는 통계적 탐구 문제를 설정하고 적절한 계획을 세워 자료를 수집하게 한다. 수집한 자료를 자료의 특성과 목적에 맞게 표, 그래프, 수치 등으로 나타내어 분석하고, 그 결과를 탐구 문제와 연결하여 해석하게 한다. 자료를 수집하고 분석할 때는 인터넷 검색, 웹 기반 소프트웨어, 통계 프로그램 등을 활용하게 한다. 수집한 자료나 분석 결과가 적절한지 판단하여 계획을 수정하고, 통계적 근거를 바탕으로 토론하는 등 통계적 문제해결 과정에 주도적으로 참여하게 한다.</t>
  </si>
  <si>
    <t>[9수04-05]</t>
  </si>
  <si>
    <t>경우의 수를 구할 수 있다.</t>
  </si>
  <si>
    <t>경우의 수는 두 경우의 수를 합하거나 곱하는 경우 정도로만 다루고, 순열과 조합을 이용하면 쉽게 해결되는 등의 복잡한 경우의 수를 구하는 문제는 다루지 않는다.</t>
  </si>
  <si>
    <t>[9수04-06]</t>
  </si>
  <si>
    <t>확률의 개념과 그 기본 성질을 이해하고, 확률을 구할 수 있다.</t>
  </si>
  <si>
    <t>확률은 실험이나 관찰을 통해 구한 상대도수로서의 의미와 경우의 수의 비율로서의 의미를 연결하여 이해하게 한다. 경우의 수의 비율로 확률을 다룰 때, 각 경우가 발생할 가능성이 동등하다는 것을 가정한다는 점에 유의하게 한다.</t>
  </si>
  <si>
    <t>[9수04-07]</t>
  </si>
  <si>
    <t>분산과 표준편차를 구하고 자료의 분포를 설명할 수 있다.</t>
  </si>
  <si>
    <t>[9수04-08]</t>
  </si>
  <si>
    <t>공학 도구를 이용하여 자료를 상자그림으로 나타내고 분포를 비교할 수 있다.</t>
  </si>
  <si>
    <t>상자그림을 다룰 때는 두 집단의 분포를 비교하고 해석하는 활동에 중점을 두고, 이를 통해 상자그림의 유용성을 인식하게 한다.</t>
  </si>
  <si>
    <t>[9수04-09]</t>
  </si>
  <si>
    <t>자료를 산점도로 나타내고 상관관계를 말할 수 있다.</t>
  </si>
  <si>
    <t>상관관계는 양의 상관관계, 음의 상관관계, 상관관계가 없는 경우로 구분하여 다룬다.</t>
  </si>
  <si>
    <t>[10공수1-01-01]</t>
  </si>
  <si>
    <t>다항식의 사칙연산의 원리를 설명하고, 그 계산을 할 수 있다.</t>
  </si>
  <si>
    <t>[10공수1-01-02]</t>
  </si>
  <si>
    <t>항등식의 성질과 나머지정리를 이해하고, 이를 활용하여 문제를 해결할 수 있다.</t>
  </si>
  <si>
    <t>[10공수1-01-03]</t>
  </si>
  <si>
    <t>다항식의 인수분해를 할 수 있다.</t>
  </si>
  <si>
    <t>다항식의 인수분해는 다음의 경우를 다룬다. a²+b²+c²+2ab+2bc+2ca=(a+b+c)², a³+3a²b+3ab²+b³=(a+b)³, a³-3a²b+3ab²-b³=(a-b)³, a³+b³=(a+b)(a²-ab+b²), a³-b³=(a-b)(a²+ab+b²)</t>
  </si>
  <si>
    <t>[10공수1-02-01]</t>
  </si>
  <si>
    <t>복소수의 뜻과 성질을 설명하고, 사칙연산을 수행할 수 있다.</t>
  </si>
  <si>
    <t>[10공수1-02-02]</t>
  </si>
  <si>
    <t>이차방정식의 실근과 허근을 이해하고, 판별식을 이용하여 이차방정식의 근을 판별할 수 있다.</t>
  </si>
  <si>
    <t>이차방정식은 계수가 실수인 경우만 다루고, 이차방정식은 복소수 범위에서 항상 근을 갖는다는 것을 이해하게 한다.</t>
  </si>
  <si>
    <t>[10공수1-02-03]</t>
  </si>
  <si>
    <t>이차방정식의 근과 계수의 관계를 설명할 수 있다.</t>
  </si>
  <si>
    <t>[10공수1-02-04]</t>
  </si>
  <si>
    <t>이차방정식과 이차함수를 연결하여 그 관계를 설명할 수 있다.</t>
  </si>
  <si>
    <t>[10공수1-02-05]</t>
  </si>
  <si>
    <t>이차함수의 그래프와 직선의 위치 관계를 판단할 수 있다.</t>
  </si>
  <si>
    <t>[10공수1-02-06]</t>
  </si>
  <si>
    <t>이차함수의 최대, 최소를 탐구하고, 이를 실생활과 연결하여 유용성을 인식할 수 있다.</t>
  </si>
  <si>
    <t>이차함수의 최대, 최소는 제한된 범위에서만 다룬다.</t>
  </si>
  <si>
    <t>[10공수1-02-07]</t>
  </si>
  <si>
    <t>간단한 삼차방정식과 사차방정식을 풀 수 있다.</t>
  </si>
  <si>
    <t>삼차방정식과 사차방정식은 계수가 실수인 경우만 다루고, 인수분해 공식이나 인수정리, 조립제법을 이용하여 풀 수 있는 경우만을 다룬다.</t>
  </si>
  <si>
    <t>[10공수1-02-08]</t>
  </si>
  <si>
    <t>미지수가 2개인 연립이차방정식을 풀 수 있다.</t>
  </si>
  <si>
    <t>미지수가 2개인 연립이차방정식은 일차식과 이차식이 각각 한 개씩 주어진 경우, 두 이차식 중 한 이차식이 간단히 인수분해 되는 경우만 다룬다.</t>
  </si>
  <si>
    <t>[10공수1-02-09]</t>
  </si>
  <si>
    <t>미지수가 1개인 연립일차부등식을 풀 수 있다.</t>
  </si>
  <si>
    <t>[10공수1-02-10]</t>
  </si>
  <si>
    <t>절댓값을 포함한 일차부등식을 풀 수 있다.</t>
  </si>
  <si>
    <t>[10공수1-02-11]</t>
  </si>
  <si>
    <t>이차부등식과 이차함수를 연결하여 그 관계를 설명하고, 이차부등식과 연립이차부등식을 풀 수 있다.</t>
  </si>
  <si>
    <t>[10공수1-03-01]</t>
  </si>
  <si>
    <t>합의 법칙과 곱의 법칙을 이해하고, 적절한 전략을 사용하여 경우의 수와 관련된 문제를 해결할 수 있다.</t>
  </si>
  <si>
    <t>[10공수1-03-02]</t>
  </si>
  <si>
    <t>순열의 개념을 이해하고, 순열의 수를 구하는 방법을 설명할 수 있다.</t>
  </si>
  <si>
    <t>[10공수1-03-03]</t>
  </si>
  <si>
    <t>조합의 개념을 이해하고, 조합의 수를 구하는 방법을 설명할 수 있다.</t>
  </si>
  <si>
    <t>[10공수1-04-01]</t>
  </si>
  <si>
    <t>행렬의 뜻을 알고, 실생활 상황을 행렬로 표현할 수 있다.</t>
  </si>
  <si>
    <t>[10공수1-04-02]</t>
  </si>
  <si>
    <t>행렬의 연산을 수행하고, 관련된 문제를 해결할 수 있다.</t>
  </si>
  <si>
    <t>행렬의 연산에서는 행렬의 덧셈, 뺄셈, 실수배 및 곱셈을 다루고, 행과 열의 수가 각각 2를 넘지 않는 범위에서 행렬의 곱셈을 할 수 있게 한다.</t>
  </si>
  <si>
    <t>[10공수2-01-01]</t>
  </si>
  <si>
    <t>선분의 내분을 이해하고, 내분점의 좌표를 계산할 수 있다.</t>
  </si>
  <si>
    <t>선분의 내분을 도입하기 전에 두 점 사이의 거리를 구하는 방법을 다루고, 내분은 수직선 위에서, 좌표평면 위에서 구할 수 있도록 점차 확장하여 다룬다.</t>
  </si>
  <si>
    <t>[10공수2-01-02]</t>
  </si>
  <si>
    <t>두 직선의 평행 조건과 수직 조건을 탐구하고 이해한다.</t>
  </si>
  <si>
    <t>[10공수2-01-03]</t>
  </si>
  <si>
    <t>점과 직선 사이의 거리를 구하고, 관련된 문제를 해결할 수 있다.</t>
  </si>
  <si>
    <t>[10공수2-01-04]</t>
  </si>
  <si>
    <t>원의 방정식을 구하고, 그래프를 그릴 수 있다.</t>
  </si>
  <si>
    <t>[10공수2-01-05]</t>
  </si>
  <si>
    <t>좌표평면에서 원과 직선의 위치 관계를 판단하고, 이를 활용하여 문제를 해결할 수 있다.</t>
  </si>
  <si>
    <t>[10공수2-01-06]</t>
  </si>
  <si>
    <t>평행이동을 탐구하고, 실생활과 연결하여 문제를 해결할 수 있다.</t>
  </si>
  <si>
    <t>[10공수2-01-07]</t>
  </si>
  <si>
    <t>원점, x축, y축, 직선 y=x에 대한 대칭이동을 탐구하고, 실생활과 연결하여 문제를 해결할 수 있다.</t>
  </si>
  <si>
    <t>[10공수2-02-01]</t>
  </si>
  <si>
    <t>집합의 개념을 이해하고, 집합을 표현할 수 있다.</t>
  </si>
  <si>
    <t>[10공수2-02-02]</t>
  </si>
  <si>
    <t>두 집합 사이의 포함관계를 판단할 수 있다.</t>
  </si>
  <si>
    <t>[10공수2-02-03]</t>
  </si>
  <si>
    <t>집합의 연산을 수행하고, 벤 다이어그램을 이용하여 나타낼 수 있다.</t>
  </si>
  <si>
    <t>집합의 연산은 합집합, 교집합, 여집합, 차집합을 다루고, 집합의 연산에 관한 교환법칙, 결합법칙, 분배법칙, 드모르간의 법칙은 벤 다이어그램으로 확인하는 정도로 간단히 다룬다.</t>
  </si>
  <si>
    <t>[10공수2-02-04]</t>
  </si>
  <si>
    <t>명제와 조건의 뜻을 알고, ‘모든’, ‘어떤’을 포함한 명제를 이해하고 설명할 수 있다.</t>
  </si>
  <si>
    <t>명제와 조건의 뜻은 수학적인 문장을 이해하는 수준에서 간단히 다룬다. ‘모든’, ‘어떤’을 포함한 명제는 구체적인 상황을 이용하여 도입한다.</t>
  </si>
  <si>
    <t>[10공수2-02-05]</t>
  </si>
  <si>
    <t>명제의 역과 대우를 이해하고 설명할 수 있다.</t>
  </si>
  <si>
    <t>[10공수2-02-06]</t>
  </si>
  <si>
    <t>충분조건과 필요조건을 이해하고 판단할 수 있다.</t>
  </si>
  <si>
    <t>[10공수2-02-07]</t>
  </si>
  <si>
    <t>대우를 이용한 증명법과 귀류법을 이해하고 관련된 명제를 증명할 수 있다.</t>
  </si>
  <si>
    <t>대우를 이용한 증명법과 귀류법을 이용한 명제의 증명은 간단한 것만 다룬다.</t>
  </si>
  <si>
    <t>[10공수2-02-08]</t>
  </si>
  <si>
    <t>절대부등식의 뜻을 알고, 간단한 절대부등식을 증명할 수 있다.</t>
  </si>
  <si>
    <t>[10공수2-03-01]</t>
  </si>
  <si>
    <t>함수의 개념을 설명하고, 그 그래프를 이해한다.</t>
  </si>
  <si>
    <t>함수의 개념은 중학교에서 학습한 내용을 확장하여 주어진 두 집합 사이의 대응 관계로 이해하게 한다.</t>
  </si>
  <si>
    <t>[10공수2-03-02]</t>
  </si>
  <si>
    <t>함수의 합성을 설명하고, 합성함수를 구할 수 있다.</t>
  </si>
  <si>
    <t>[10공수2-03-03]</t>
  </si>
  <si>
    <t>역함수의 개념을 설명하고, 역함수를 구할 수 있다.</t>
  </si>
  <si>
    <t>[10공수2-03-04]</t>
  </si>
  <si>
    <t>유리함수 y=(ax+b)/(cx+d)의 그래프를 그릴 수 있고, 그 그래프의 성질을 탐구할 수 있다.</t>
  </si>
  <si>
    <t>유리식은 유리함수의 의미를 이해할 수 있을 정도로 간단히 다루고, 유리함수는 y=(ax+b)/(cx+d)의 기본적인 형태를 중심으로 간단한 문제만 다룬다.</t>
  </si>
  <si>
    <t>[10공수2-03-05]</t>
  </si>
  <si>
    <t>무리함수 y=√(ax+b)+c의 그래프를 그릴 수 있고, 그 그래프의 성질을 탐구할 수 있다.</t>
  </si>
  <si>
    <t>무리식은 무리함수의 의미를 이해할 수 있을 정도로 간단히 다루고, 무리함수는 y=√(ax+b)+c의 기본적인 형태를 중심으로 간단한 문제만 다룬다.</t>
  </si>
  <si>
    <t>[10기수1-01-01]</t>
  </si>
  <si>
    <t>다항식의 덧셈과 뺄셈은 일차식의 덧셈과 뺄셈으로부터 시작하여, 이차식, 삼차식 등으로 점진적으로 제시하되, 그 계산 원리를 이해하게 하고 간단한 다항식의 덧셈과 뺄셈을 다룬다.</t>
  </si>
  <si>
    <t>[10기수1-01-02]</t>
  </si>
  <si>
    <t>다항식의 곱셈과 나눗셈의 원리를 이해하고, 그 계산을 할 수 있다.</t>
  </si>
  <si>
    <t>다항식의 곱셈은 중학교에서 다루는 (단항식)×(다항식)의 원리를 이해하고 계산하는 것으로부터 분배법칙을 이용하여 (1차 다항식)×(2차 이하의 다항식)을 하는 정도로 간단히 다룬다. 다항식의 나눗셈은 중학교에서 다루는 (다항식)÷(단항식)의 원리를 이해하고, (3차 이하의 다항식)÷(1차 다항식)을 하는 정도로 그 몫이 다항식이 되는 경우만 다룬다.</t>
  </si>
  <si>
    <t>[10기수1-01-03]</t>
  </si>
  <si>
    <t>인수분해 공식을 이용하여 다항식의 인수분해를 할 수 있다.</t>
  </si>
  <si>
    <t>다항식의 인수분해는 다음의 인수분해 공식을 이용하는 간단한 수준으로 다룬다. ma+mb=m(a+b), a²+2ab+b²=(a+b)², a²-2ab+b²=(a-b)², a²-b²=(a+b)(a-b), x²+(a+b)x+ab=(x+a)(x+b), acx²+(ad+bc)x+bd=(ax+b)(cx+d), a³+3a²b+3ab²+b³=(a+b)³, a³-3a²b+3ab²-b³=(a-b)³, a³+b³=(a+b)(a²-ab+b²), a³-b³=(a-b)(a²+ab+b²)</t>
  </si>
  <si>
    <t>[10기수1-02-01]</t>
  </si>
  <si>
    <t>간단한 이차방정식을 풀 수 있다.</t>
  </si>
  <si>
    <t>이차방정식은 인수분해, 제곱근, 근의 공식을 이용하는 간단한 경우만을 다루되, 그 해가 실근인 것만 다룬다.</t>
  </si>
  <si>
    <t>[10기수1-02-02]</t>
  </si>
  <si>
    <t>이차방정식에서 판별식을 이해하고, 근의 존재성을 판단할 수 있다.</t>
  </si>
  <si>
    <t>이차방정식에서 판별식의 부호가 음수일 경우에는 근이 존재하지 않음을 이해하게 한다.</t>
  </si>
  <si>
    <t>[10기수1-02-03]</t>
  </si>
  <si>
    <t>이차함수의 뜻을 알고, 이차함수의 그래프의 성질을 설명할 수 있다.</t>
  </si>
  <si>
    <t>[10기수1-02-04]</t>
  </si>
  <si>
    <t>이차방정식과 이차함수를 연결하여 그 관계를 이해한다.</t>
  </si>
  <si>
    <t>[10기수1-02-05]</t>
  </si>
  <si>
    <t>이차함수의 최대, 최소를 이해하고, 간단한 문제를 해결할 수 있다.</t>
  </si>
  <si>
    <t>이차함수의 최대, 최소는 실수 전체의 범위뿐만 아니라 제한된 범위에서의 최댓값과 최솟값을 구할 수 있게 한다.</t>
  </si>
  <si>
    <t>[10기수1-02-06]</t>
  </si>
  <si>
    <t>부등식의 성질을 설명하고, 일차부등식을 풀 수 있다.</t>
  </si>
  <si>
    <t>[10기수1-02-07]</t>
  </si>
  <si>
    <t>[10기수1-02-08]</t>
  </si>
  <si>
    <t>절댓값을 포함한 간단한 일차부등식을 풀 수 있다.</t>
  </si>
  <si>
    <t>한 개의 절댓값을 포함한 일차부등식만 다룬다.</t>
  </si>
  <si>
    <t>[10기수1-02-09]</t>
  </si>
  <si>
    <t>이차부등식과 이차함수를 연결하여 그 관계를 이해하고, 간단한 이차부등식을 풀 수 있다.</t>
  </si>
  <si>
    <t>[10기수1-03-01]</t>
  </si>
  <si>
    <t>합의 법칙과 곱의 법칙은 각각 두 사건에 대해서만 다루며, 특히 합의 법칙과 관련하여 두 사건이 동시에 일어나지 않는 경우만 다룬다.</t>
  </si>
  <si>
    <t>[10기수1-03-02]</t>
  </si>
  <si>
    <t>순열의 개념을 이해하고, 순열의 수를 구할 수 있다.</t>
  </si>
  <si>
    <t>[10기수1-03-03]</t>
  </si>
  <si>
    <t>조합의 개념을 이해하고, 조합의 수를 구할 수 있다.</t>
  </si>
  <si>
    <t>[10기수1-04-01]</t>
  </si>
  <si>
    <t>[10기수1-04-02]</t>
  </si>
  <si>
    <t>행렬의 연산을 수행하고, 간단한 문제를 해결할 수 있다.</t>
  </si>
  <si>
    <t>[10기수2-01-01]</t>
  </si>
  <si>
    <t>두 점 사이의 거리를 계산할 수 있다.</t>
  </si>
  <si>
    <t>[10기수2-01-02]</t>
  </si>
  <si>
    <t>직선의 방정식을 구하고, 그래프를 그릴 수 있다.</t>
  </si>
  <si>
    <t>[10기수2-01-03]</t>
  </si>
  <si>
    <t>두 직선의 평행 조건과 수직 조건을 이해하고, 관련된 문제를 해결할 수 있다.</t>
  </si>
  <si>
    <t>[10기수2-01-04]</t>
  </si>
  <si>
    <t>[10기수2-01-05]</t>
  </si>
  <si>
    <t>좌표평면에서 원과 직선의 위치 관계를 판단할 수 있다.</t>
  </si>
  <si>
    <t>[10기수2-01-06]</t>
  </si>
  <si>
    <t>평행이동을 이해하고, 실생활과 연결할 수 있다.</t>
  </si>
  <si>
    <t>[10기수2-01-07]</t>
  </si>
  <si>
    <t>원점, x축, y축, 직선 y=x에 대한 대칭이동을 이해하고, 실생활과 연결할 수 있다.</t>
  </si>
  <si>
    <t>[10기수2-02-01]</t>
  </si>
  <si>
    <t>[10기수2-02-02]</t>
  </si>
  <si>
    <t>[10기수2-02-03]</t>
  </si>
  <si>
    <t>두 집합의 연산을 수행하고, 벤 다이어그램을 이용하여 나타낼 수 있다.</t>
  </si>
  <si>
    <t>집합의 연산은 두 집합의 합집합, 교집합, 여집합, 차집합의 개념을 다루고, 집합의 연산에 관한 교환법칙, 결합법칙, 분배법칙, 드모르간의 법칙은 다루지 않는다.</t>
  </si>
  <si>
    <t>[10기수2-02-04]</t>
  </si>
  <si>
    <t>명제와 조건의 뜻을 알고, 이를 설명할 수 있다.</t>
  </si>
  <si>
    <t>명제와 조건의 뜻은 수학적인 문장을 이해하는 수준에서 간단히 다룬다.</t>
  </si>
  <si>
    <t>[10기수2-02-05]</t>
  </si>
  <si>
    <t>간단한 예를 통해 명제의 역, 대우를 이해할 수 있게 한다.</t>
  </si>
  <si>
    <t>[10기수2-03-01]</t>
  </si>
  <si>
    <t>[10기수2-03-02]</t>
  </si>
  <si>
    <t>함수의 합성을 이해하고, 합성함수를 구할 수 있다.</t>
  </si>
  <si>
    <t>[10기수2-03-03]</t>
  </si>
  <si>
    <t>역함수의 개념을 이해하고, 역함수를 구할 수 있다.</t>
  </si>
  <si>
    <t>[10기수2-03-04]</t>
  </si>
  <si>
    <t>유리함수 y=k/x의 그래프를 그릴 수 있고, 그 그래프의 성질을 탐구할 수 있다.</t>
  </si>
  <si>
    <t>유리식은 유리함수의 의미를 이해할 수 있을 정도로 간단히 다루고, 유리함수는 y=k/x 형태만 다룬다.</t>
  </si>
  <si>
    <t>[10기수2-03-05]</t>
  </si>
  <si>
    <t>무리함수 y=√kx의 그래프를 그릴 수 있고, 그 그래프의 성질을 탐구할 수 있다.</t>
  </si>
  <si>
    <t>무리식은 무리함수의 의미를 이해할 수 있을 정도로 간단히 다루고, 무리함수는 y=√kx 형태만 다룬다.</t>
  </si>
  <si>
    <t>[12대수01-01]</t>
  </si>
  <si>
    <t>거듭제곱과 거듭제곱근의 뜻을 알고, 그 성질을 이용하여 계산할 수 있다.</t>
  </si>
  <si>
    <t>[12대수01-02]</t>
  </si>
  <si>
    <t>지수가 유리수, 실수까지 확장될 수 있음을 이해하고, 이를 설명할 수 있다.</t>
  </si>
  <si>
    <t>지수가 유리수 및 실수인 경우는 밑이 양수인 조건이 필요함을 이해하게 한다. 지수가 실수인 경우는 직관적으로 다룬다.</t>
  </si>
  <si>
    <t>[12대수01-03]</t>
  </si>
  <si>
    <t>지수법칙을 이해하고, 이를 이용하여 식을 간단히 나타낼 수 있다.</t>
  </si>
  <si>
    <t>[12대수01-04]</t>
  </si>
  <si>
    <t>로그의 뜻을 알고, 그 성질을 이용하여 계산할 수 있다.</t>
  </si>
  <si>
    <t>로그의 성질은 지수의 성질과 관련지어 이해하게 한다.</t>
  </si>
  <si>
    <t>[12대수01-05]</t>
  </si>
  <si>
    <t>상용로그를 이해하고, 이를 실생활과 연결하여 문제를 해결할 수 있다.</t>
  </si>
  <si>
    <t>[12대수01-06]</t>
  </si>
  <si>
    <t>지수함수와 로그함수의 뜻을 알고, 이를 설명할 수 있다.</t>
  </si>
  <si>
    <t>[12대수01-07]</t>
  </si>
  <si>
    <t>지수함수와 로그함수의 그래프를 그릴 수 있고, 그 성질을 설명할 수 있다.</t>
  </si>
  <si>
    <t>지수함수와 로그함수는 역함수 관계임을 그래프를 통해 확인하게 한다.</t>
  </si>
  <si>
    <t>[12대수01-08]</t>
  </si>
  <si>
    <t>지수함수, 로그함수를 활용하여 문제를 해결할 수 있다.</t>
  </si>
  <si>
    <t>[12대수02-01]</t>
  </si>
  <si>
    <t>일반각과 호도법의 뜻을 알고, 그 관계를 설명할 수 있다.</t>
  </si>
  <si>
    <t>[12대수02-02]</t>
  </si>
  <si>
    <t>삼각함수의 개념을 이해하여 사인함수, 코사인함수, 탄젠트함수의 그래프를 그리고, 그 성질을 설명할 수 있다.</t>
  </si>
  <si>
    <t>삼각함수의 개념은 중학교에서 학습한 삼각비와 연계하여 이해하게 하며, 삼각함수의 성질은 삼각함수의 그래프의 성질을 이해하는 데 필요한 정도로 간단히 다룬다.</t>
  </si>
  <si>
    <t>[12대수02-03]</t>
  </si>
  <si>
    <t>사인법칙과 코사인법칙을 이해하고, 실생활 문제를 해결할 수 있다.</t>
  </si>
  <si>
    <t>사인법칙과 코사인법칙을 이용하여 삼각형의 각의 크기와 변의 길이 사이의 관계를 이해하고 삼각형의 넓이를 다양한 방법으로 구할 수 있게 한다.</t>
  </si>
  <si>
    <t>[12대수03-01]</t>
  </si>
  <si>
    <t>수열의 뜻을 설명할 수 있다.</t>
  </si>
  <si>
    <t>[12대수03-02]</t>
  </si>
  <si>
    <t>등차수열의 뜻을 알고, 일반항, 첫째항부터 제n항까지의 합을 구할 수 있다.</t>
  </si>
  <si>
    <t>[12대수03-03]</t>
  </si>
  <si>
    <t>등비수열의 뜻을 알고, 일반항, 첫째항부터 제n항까지의 합을 구할 수 있다.</t>
  </si>
  <si>
    <t>[12대수03-04]</t>
  </si>
  <si>
    <t>∑의 뜻과 성질을 이해하고, 이를 활용하여 문제를 해결할 수 있다.</t>
  </si>
  <si>
    <t>[12대수03-05]</t>
  </si>
  <si>
    <t>여러 가지 수열의 첫째항부터 제n항까지의 합을 구하는 방법을 설명할 수 있다.</t>
  </si>
  <si>
    <t>여러 가지 수열의 합에서는 자연수의 거듭제곱의 합 Σk (k=1~n), Σk² (k=1~n), Σk³ (k=1~n)과 수열의 합이 간단한 것만 다룬다.</t>
  </si>
  <si>
    <t>[12대수03-06]</t>
  </si>
  <si>
    <t>수열의 귀납적 정의를 설명할 수 있다.</t>
  </si>
  <si>
    <t>[12대수03-07]</t>
  </si>
  <si>
    <t>수학적 귀납법의 원리를 이해하고, 이를 이용하여 명제를 증명할 수 있다.</t>
  </si>
  <si>
    <t>수학적 귀납법을 이용한 증명은 원리를 이해할 수 있는 정도로 간단히 다룬다.</t>
  </si>
  <si>
    <t>[12확통01-01]</t>
  </si>
  <si>
    <t>중복순열, 같은 것이 있는 순열을 이해하고, 그 순열의 수를 구하는 방법을 설명할 수 있다.</t>
  </si>
  <si>
    <t>중복순열, 같은 것이 있는 순열 등을 이해하는 과정에서 필요한 경우, &lt;공통수학1&gt;의 경우의 수와 연계되는 내용은 간단히 다룰 수 있다.</t>
  </si>
  <si>
    <t>[12확통01-02]</t>
  </si>
  <si>
    <t>중복조합을 이해하는 과정에서 필요한 경우, &lt;공통수학1&gt;의 경우의 수와 연계되는 내용은 간단히 다룰 수 있다.</t>
  </si>
  <si>
    <t>[12확통01-03]</t>
  </si>
  <si>
    <t>[12확통02-01]</t>
  </si>
  <si>
    <t>확률의 개념을 이해하고 기본 성질을 설명할 수 있다.</t>
  </si>
  <si>
    <t>확률 개념을 도입할 때 수학적 확률과 통계적 확률을 사용하며, 중학교에서 학습한 확률과 연계되는 내용은 필요한 경우에만 간단히 다룬다.</t>
  </si>
  <si>
    <t>[12확통02-02]</t>
  </si>
  <si>
    <t>확률의 덧셈정리를 이해하고, 이를 활용하여 문제를 해결할 수 있다.</t>
  </si>
  <si>
    <t>[12확통02-03]</t>
  </si>
  <si>
    <t>여사건의 확률을 이해하고, 이를 활용하여 문제를 해결할 수 있다.</t>
  </si>
  <si>
    <t>[12확통02-04]</t>
  </si>
  <si>
    <t>조건부확률을 이해하고, 이를 실생활과 연결하여 문제를 해결할 수 있다.</t>
  </si>
  <si>
    <t>[12확통02-05]</t>
  </si>
  <si>
    <t>사건의 독립과 종속을 이해하고, 이를 판단할 수 있다.</t>
  </si>
  <si>
    <t>[12확통02-06]</t>
  </si>
  <si>
    <t>확률의 곱셈정리를 이해하고, 이를 활용하여 문제를 해결할 수 있다.</t>
  </si>
  <si>
    <t>[12확통03-01]</t>
  </si>
  <si>
    <t>[12확통03-02]</t>
  </si>
  <si>
    <t>이산확률변수의 기댓값(평균)과 표준편차를 구할 수 있다.</t>
  </si>
  <si>
    <t>[12확통03-03]</t>
  </si>
  <si>
    <t>이항분포의 뜻과 성질을 이해하고, 평균과 표준편차를 구할 수 있다.</t>
  </si>
  <si>
    <t>[12확통03-04]</t>
  </si>
  <si>
    <t>정규분포의 뜻과 성질을 이해하고, 이항분포와의 관계를 설명할 수 있다.</t>
  </si>
  <si>
    <t>[12확통03-05]</t>
  </si>
  <si>
    <t>표본추출이 모집단의 성질을 예측하는 기본조건임을 이해하게 한다. 표본의 추출방법을 임의추출로 제한하고 구체적인 예로 간단히 다룬다.</t>
  </si>
  <si>
    <t>[12확통03-06]</t>
  </si>
  <si>
    <t>표본평균과 모평균, 표본비율과 모비율의 관계를 이해하고 설명할 수 있다.</t>
  </si>
  <si>
    <t>표본평균 및 표본비율은 추출한 표본에 따라 다른 값을 가질 수 있는 확률변수임을 알게 하고, 모평균 및 모비율의 추정에 관한 수학적 원리를 이해하게 한다. 모평균 추정은 모집단의 분포가 정규분포인 경우만 다루고, 모비율의 추정은 표본의 크기가 큰 경우만 다룬다.</t>
  </si>
  <si>
    <t>[12확통03-07]</t>
  </si>
  <si>
    <t>공학 도구를 이용하여 모평균 및 모비율을 추정하고 그 결과를 해석할 수 있다.</t>
  </si>
  <si>
    <t>공학 도구를 이용하여 실생활 자료에서 모평균 또는 모비율을 추정하고, 그 결과를 해석하는 과정을 통해 유용성을 인식할 수 있다.</t>
  </si>
  <si>
    <t>[12기하01-01]</t>
  </si>
  <si>
    <t>포물선의 뜻을 알고, 포물선을 방정식으로 표현할 수 있다.</t>
  </si>
  <si>
    <t>[12기하01-02]</t>
  </si>
  <si>
    <t>타원의 뜻을 알고, 타원을 방정식으로 표현할 수 있다.</t>
  </si>
  <si>
    <t>[12기하01-03]</t>
  </si>
  <si>
    <t>쌍곡선의 뜻을 알고, 쌍곡선을 방정식으로 표현할 수 있다.</t>
  </si>
  <si>
    <t>[12기하01-04]</t>
  </si>
  <si>
    <t>이차곡선의 접선의 방정식은 이차방정식의 판별식을 이용하여 구하게 한다.</t>
  </si>
  <si>
    <t>[12기하02-01]</t>
  </si>
  <si>
    <t>직선과 직선, 직선과 평면, 평면과 평면의 위치 관계에 대한 간단한 증명을 할 수 있다.</t>
  </si>
  <si>
    <t>[12기하02-02]</t>
  </si>
  <si>
    <t>삼수선 정리를 이해하고, 이를 활용하여 문제를 해결할 수 있다.</t>
  </si>
  <si>
    <t>[12기하02-03]</t>
  </si>
  <si>
    <t>[12기하02-04]</t>
  </si>
  <si>
    <t>좌표공간에서 두 점 사이의 거리와 선분의 내분점의 좌표를 구할 수 있다.</t>
  </si>
  <si>
    <t>좌표공간에서 점의 좌표를 구하는 원리를 이해하고, 두 점 사이의 거리와 내분점의 좌표가 구성되는 원리를 좌표공간으로 확장하게 한다. 평면에서 공간으로 차원을 확장하는 것에 대해 흥미를 갖게 한다.</t>
  </si>
  <si>
    <t>[12기하02-05]</t>
  </si>
  <si>
    <t>구를 방정식으로 표현할 수 있다.</t>
  </si>
  <si>
    <t>[12기하03-01]</t>
  </si>
  <si>
    <t>[12기하03-02]</t>
  </si>
  <si>
    <t>위치벡터의 뜻을 알고, 벡터와 좌표를 대응시켜 표현할 수 있다.</t>
  </si>
  <si>
    <t>벡터를 표현하고 탐구하는 방법에는 화살표를 이용한 기하적 방법과 좌표를 이용한 대수적 방법이 있음을 인식하게 한다.</t>
  </si>
  <si>
    <t>[12기하03-03]</t>
  </si>
  <si>
    <t>내적의 뜻을 알고, 두 벡터의 내적을 구할 수 있다.</t>
  </si>
  <si>
    <t>[12기하03-04]</t>
  </si>
  <si>
    <t>벡터를 이용하여 직선의 방정식을 구할 수 있다.</t>
  </si>
  <si>
    <t>좌표평면과 좌표공간에서 직선을 벡터를 이용한 방정식으로 간결하게 표현할 수 있음을 알게 한다.</t>
  </si>
  <si>
    <t>[12기하03-05]</t>
  </si>
  <si>
    <t>좌표공간에서 벡터를 이용하여 평면의 방정식과 구의 방정식을 구할 수 있다.</t>
  </si>
  <si>
    <t>좌표공간에서 평면과 구를 벡터를 이용한 방정식으로 간결하게 표현할 수 있음을 알게 한다.</t>
  </si>
  <si>
    <t>[12경수01-01]</t>
  </si>
  <si>
    <t>통계 자료를 활용하여 경제지표의 의미를 이해하고, 경제지표의 변화를 설명할 수 있다.</t>
  </si>
  <si>
    <t>경제지표는 실생활 속에서 흔히 접할 수 있는 자료에 대하여 조건과 상황을 단순화하여 다룬다. 경제지표의 변화를 수학 용어, 기호, 수식, 표, 그래프 등을 사용하여 설명함으로써 수학적 표현의 편리함을 인식하게 한다.</t>
  </si>
  <si>
    <t>[12경수01-02]</t>
  </si>
  <si>
    <t>환율과 관련된 실생활 문제를 해결할 수 있다.</t>
  </si>
  <si>
    <t>[12경수01-03]</t>
  </si>
  <si>
    <t>세금과 관련된 실생활 문제를 해결할 수 있다.</t>
  </si>
  <si>
    <t>[12경수01-04]</t>
  </si>
  <si>
    <t>단리와 복리를 이용하여 이자와 원리합계를 구하고, 미래에 받을 금액의 현재가치를 구할 수 있다.</t>
  </si>
  <si>
    <t>동일한 상황에서 단리와 복리를 적용할 때 이자와 원리합계가 어떻게 달라지는지 확인하게 한다. 또한 동일한 금액이라도 받거나 지급하는 시점이 현재인 경우와 미래인 경우 그 가치가 다를 수 있음을 이해하게 한다.</t>
  </si>
  <si>
    <t>[12경수01-05]</t>
  </si>
  <si>
    <t>연금의 뜻을 알고, 연금의 현재가치를 구할 수 있다.</t>
  </si>
  <si>
    <t>미래의 각 시점마다 동일하게 받게 되는 금액의 현재가치가 등비수열로 표현되고 이들의 총합인 연금의 현재가치가 등비수열의 합이나 등비급수로 계산될 수 있음을 다룬다.</t>
  </si>
  <si>
    <t>[12경수02-01]</t>
  </si>
  <si>
    <t>여러 가지 경제 현상을 함수로 나타낼 수 있다.</t>
  </si>
  <si>
    <t>[12경수02-02]</t>
  </si>
  <si>
    <t>함수와 그래프를 활용하여 수요곡선과 공급곡선의 의미를 탐구하고 이해한다.</t>
  </si>
  <si>
    <t>[12경수02-03]</t>
  </si>
  <si>
    <t>효용의 의미를 이해하고, 효용을 함수와 그래프로 나타낼 수 있다.</t>
  </si>
  <si>
    <t>[12경수02-04]</t>
  </si>
  <si>
    <t>수요와 공급의 상호 작용에 의해 균형가격이 결정되는 경제 현상을 설명할 수 있다.</t>
  </si>
  <si>
    <t>[12경수02-05]</t>
  </si>
  <si>
    <t>세금과 소득의 변화가 균형가격에 미치는 영향을 탐구하고 이해한다.</t>
  </si>
  <si>
    <t>세금과 소득의 변화에 따른 균형가격의 변화는 그래프의 평행이동을 이용하여 분석하게 한다.</t>
  </si>
  <si>
    <t>[12경수02-06]</t>
  </si>
  <si>
    <t>부등식의 영역의 개념을 이해하고, 이를 활용하여 경제 현상의 문제를 해결할 수 있다.</t>
  </si>
  <si>
    <t>부등식의 영역에서 (x+y)(x-y)&gt;0과 같이 다항식의 곱으로 표현된 것은 다루지 않는다. 부등식의 영역과 관련하여 최대, 최소를 구할 때, 경제 관련 함수는 일차식만 다룬다.</t>
  </si>
  <si>
    <t>[12경수03-01]</t>
  </si>
  <si>
    <t>여러 가지 경제 현상을 행렬로 나타내고, 연산할 수 있다.</t>
  </si>
  <si>
    <t>경제지표나 통계 자료 등을 활용하여 여러 가지 경제 현상을 m×n행렬로 표현하고 행렬의 덧셈, 뺄셈, 실수배, 곱셈을 수행하여 경제 현상 속에서 행렬의 연산이 의미하는 바를 이해하게 한다.</t>
  </si>
  <si>
    <t>[12경수03-02]</t>
  </si>
  <si>
    <t>역행렬의 뜻을 알고, 2×2 행렬의 역행렬을 구할 수 있다.</t>
  </si>
  <si>
    <t>[12경수03-03]</t>
  </si>
  <si>
    <t>행렬의 연산과 역행렬을 활용하여 경제 현상의 문제를 해결할 수 있다.</t>
  </si>
  <si>
    <t>[12경수04-01]</t>
  </si>
  <si>
    <t>미분의 개념을 이해하고 경제 현상을 나타내는 함수를 미분할 수 있다.</t>
  </si>
  <si>
    <t>함수의 극한 개념과 극한값에 관한 성질은 직관적 수준으로 다룬다. 미분계수는 접선의 기울기로 도입하고 함수의 미분가능성은 다루지 않는다.</t>
  </si>
  <si>
    <t>[12경수04-02]</t>
  </si>
  <si>
    <t>미분을 이용하여 그래프의 개형을 탐구하고 해석할 수 있다.</t>
  </si>
  <si>
    <t>[12경수04-03]</t>
  </si>
  <si>
    <t>미분을 활용하여 탄력성의 의미를 탐구하고 이해한다.</t>
  </si>
  <si>
    <t>[12경수04-04]</t>
  </si>
  <si>
    <t>미분을 활용하여 경제 현상의 최적화 문제를 해결할 수 있다.</t>
  </si>
  <si>
    <t>여러 독립변수들의 관계로 표현되는 함수는 특정 변수들을 고정하여 일변수함수로 바꾸어 다룬다. 효용함수를 이용한 소비자의 의사 결정, 생산함수를 이용한 생산자의 의사 결정 등과 같은 문제를 다룸으로써 경제 주체로서 합리적으로 의사 결정하는 태도를 갖게 하여 민주 시민으로서의 소양을 함양하게 한다.</t>
  </si>
  <si>
    <t>[12인수01-01]</t>
  </si>
  <si>
    <t>인공지능의 개념을 이해하고 학습 방식을 수학적으로 해석할 수 있다.</t>
  </si>
  <si>
    <t>기계학습에서 지도학습, 비지도학습, 강화학습의 특성을 소개하고, 딥러닝에서 퍼셉트론의 가중치와 활성화함수의 의미를 이해하게 한다.</t>
  </si>
  <si>
    <t>[12인수01-02]</t>
  </si>
  <si>
    <t>인공지능에서 수학을 활용한 역사적 사례를 탐구하고 설명할 수 있다.</t>
  </si>
  <si>
    <t>논리합(OR), 논리곱(AND), 배타적논리합(XOR)과 같은 논리 연산을 진리표를 사용하여 소개하고, 다층퍼셉트론으로 배타적논리합(XOR) 문제를 해결하는 과정을 이해하게 한다. 실생활 예제를 활용하여 전문가시스템의 규칙 기반 표현 방법과 추론 과정을 설명하게 한다.</t>
  </si>
  <si>
    <t>[12인수01-03]</t>
  </si>
  <si>
    <t>빅데이터의 개념과 특성을 알고 인공지능에서 빅데이터를 활용한 사례를 찾을 수 있다.</t>
  </si>
  <si>
    <t>빅데이터의 수집 및 분석과정과 이를 인공지능에서 활용한 사례를 소개하고, 데이터 활용에서 발생할 수 있는 편향성을 고려하여 공정성을 추구할 수 있게 한다.</t>
  </si>
  <si>
    <t>[12인수02-01]</t>
  </si>
  <si>
    <t>집합과 벡터를 이용하여 텍스트 데이터를 목적에 맞게 표현할 수 있다.</t>
  </si>
  <si>
    <t>실생활의 텍스트 데이터에서 불용어를 제거하여 단어 집합을 만들고, 이를 벡터를 이용하여 표현하게 한다.</t>
  </si>
  <si>
    <t>[12인수02-02]</t>
  </si>
  <si>
    <t>빈도수 벡터를 이용하여 텍스트 데이터를 요약하고 유용한 정보를 추출할 수 있다.</t>
  </si>
  <si>
    <t>빈도수 기반의 단어가방(Bag of Words)모형을 활용하여 텍스트 데이터를 요약하게 한다. 또한 TF-IDF(Term Frequency - Inverse Document Frequency) 등을 사용하여 텍스트에서 유용한 정보를 추출하게 한다. 역문서빈도(IDF)는 문서빈도(DF)의 역수로 표현하게 한다.</t>
  </si>
  <si>
    <t>[12인수02-03]</t>
  </si>
  <si>
    <t>인공지능이 텍스트를 특성에 따라 분석하는 수학적 방법을 설명할 수 있다.</t>
  </si>
  <si>
    <t>영화 리뷰, 기사 등 다양한 텍스트 데이터의 감성 정보를 분석하고, 텍스트들 사이의 유사한 정도를 분석하게 한다. 이때 유클리드 유사도, 코사인 유사도, 자카드 유사도 등을 다룰 수 있다. 코사인 유사도에서 내적과 관련된 용어 및 기호는 사용하지 않는다.</t>
  </si>
  <si>
    <t>[12인수03-01]</t>
  </si>
  <si>
    <t>행렬을 이용하여 이미지 데이터를 목적에 맞게 표현할 수 있다.</t>
  </si>
  <si>
    <t>이미지 데이터의 각 픽셀 위치와 색상 정보(RGB)를 행렬을 이용하여 표현하게 한다.</t>
  </si>
  <si>
    <t>[12인수03-02]</t>
  </si>
  <si>
    <t>행렬의 연산을 이용하여 이미지 데이터를 다양하게 변환할 수 있다.</t>
  </si>
  <si>
    <t>이미지의 구도, 색상, 휘도, 밝기, 선명도 등을 행렬의 연산을 활용하여 다양하게 변환하게 한다. 이때 회전변환은 다루지 않는다.</t>
  </si>
  <si>
    <t>[12인수03-03]</t>
  </si>
  <si>
    <t>인공지능이 이미지를 자동으로 분류하는 수학적 방법을 설명할 수 있다.</t>
  </si>
  <si>
    <t>개와 고양이의 사진을 구별하거나 손글씨를 인식하는 문제 등을 다룬다. 행렬의 유사도를 위해 해밍 거리(Hamming distance) 등을 사용하게 한다.</t>
  </si>
  <si>
    <t>[12인수04-01]</t>
  </si>
  <si>
    <t>데이터를 분석하여 사건이 일어날 확률을 구하고 이를 예측에 이용할 수 있다.</t>
  </si>
  <si>
    <t>확률의 계산은 상대도수를 활용하게 하며, 조건부확률의 용어와 기호는 다루지 않는다.</t>
  </si>
  <si>
    <t>[12인수04-02]</t>
  </si>
  <si>
    <t>공학 도구를 사용하여 데이터의 경향성을 추세선으로 나타내고 이를 예측에 이용할 수 있다.</t>
  </si>
  <si>
    <t>다양한 추세선의 비교를 통해 최적화된 추세선의 필요성을 인식하게 한다.</t>
  </si>
  <si>
    <t>[12인수04-03]</t>
  </si>
  <si>
    <t>손실함수를 이해하고 최적화된 추세선을 찾을 수 있다.</t>
  </si>
  <si>
    <t>y=ax 형태의 추세선에 대하여 일변수함수로 정의된 손실함수만을 다룬다.</t>
  </si>
  <si>
    <t>[12인수04-04]</t>
  </si>
  <si>
    <t>경사하강법을 이해하고 최적화된 예측을 위한 인공지능의 학습 방법을 설명할 수 있다.</t>
  </si>
  <si>
    <t>경사하강법을 다룰 때, 함수의 극한 개념과 미분계수는 직관적으로 이해하게 한다. 손실함수의 최솟값을 구하는 과정에서 경사하강법의 유용성을 인식하게 한다.</t>
  </si>
  <si>
    <t>[12인수05-01]</t>
  </si>
  <si>
    <t>수학적 원리를 이용하여 인공지능이 실생활 문제를 합리적으로 해결하는 사례를 찾을 수 있다.</t>
  </si>
  <si>
    <t>실생활 데이터의 경향성을 바탕으로 최적화된 예측을 통한 합리적 의사 결정 사례를 찾게 한다. 비합리적 의사 결정 사례를 통해 의사 결정의 윤리성을 판단해 보게 하여 민주 시민으로서의 소양을 함양하게 한다.</t>
  </si>
  <si>
    <t>[12인수05-02]</t>
  </si>
  <si>
    <t>인공지능과 관련된 수학 주제를 선정하여 탐구할 수 있다.</t>
  </si>
  <si>
    <t>인공지능에서 사용되는 다양한 수학적 아이디어를 탐색하고, 이를 활용한 탐구 학습 및 프로젝트 학습을 수행하게 하여 수학적 원리에 대한 흥미를 갖게 한다.</t>
  </si>
  <si>
    <t>[12직수01-01]</t>
  </si>
  <si>
    <t>직무 상황에서 수 개념과 사칙연산의 문제를 해결하고 그 유용성을 인식할 수 있다.</t>
  </si>
  <si>
    <t>업무 비용 계산, 예산안 작성, 업무 수행 경비 작성 등과 같은 직무 상황에서 직무를 효과적으로 수행하기 위해 수 개념과 사칙연산을 활용하여 문제를 해결하게 한다. 이 과정에서 다양한 문제해결 방법을 탐색하게 한다.</t>
  </si>
  <si>
    <t>[12직수01-02]</t>
  </si>
  <si>
    <t>큰 수를 어림하여 문제를 해결하고, 어림값을 이용하여 수의 크기를 비교할 수 있다.</t>
  </si>
  <si>
    <t>재무 관리 상황에서 수익, 금액, 가격, 비용 등을 사용할 때 요구되는 큰 수를 어림하여 문제를 해결하게 하고, 올림, 버림, 반올림을 이용한 어림값을 구하여 수의 크기를 파악하게 한다.</t>
  </si>
  <si>
    <t>[12직수01-03]</t>
  </si>
  <si>
    <t>시간, 길이, 무게, 들이의 표준 단위를 알고, 단위를 환산할 수 있다.</t>
  </si>
  <si>
    <t>시간(초, 분, 시), 길이(mm, cm, m, km), 무게(g, kg, t), 들이(mL, L)의 표준 단위와 그 관계를 이해하여 단위 환산을 계산하는 것에 중점을 두게 한다. 직무에서 사용하는 국제단위계가 아닌 인치(in), 피트(ft), 파운드(lb), 온스(oz) 등과 같은 단위를 인식하고 단위 사이의 변환표를 이용하여 계산하게 한다. 또한 국가 간 시차를 이해하여 적용하게 한다.</t>
  </si>
  <si>
    <t>[12직수02-01]</t>
  </si>
  <si>
    <t>비의 개념을 직무 상황에 연결하여 적용할 수 있다.</t>
  </si>
  <si>
    <t>두 양을 비교할 때 한 양을 기준으로 다른 양이 몇 배가 되는지를 나타내는 비의 개념을 직무 상황에서 파악하게 한다. 단위가격, 단가, 통화의 환율 계산 등과 같은 직무 상황에서 비례식을 적용하여 문제를 해결하게 한다.</t>
  </si>
  <si>
    <t>[12직수02-02]</t>
  </si>
  <si>
    <t>비율을 백분율로 표현할 수 있고 직무 상황에 연결하여 적용할 수 있다.</t>
  </si>
  <si>
    <t>직무 상황에서 주어진 자료를 파악하여 기준량, 비교하는 양을 찾아 비율을 구하고, 이를 백분율로 표현하게 한다. 손익률, 인상률, 할인율 등을 구하는 상황에서 비율과 백분율을 계산하고 적용하게 한다.</t>
  </si>
  <si>
    <t>[12직수02-03]</t>
  </si>
  <si>
    <t>두 양 사이의 대응 관계를 나타낸 표에서 규칙을 찾아 설명할 수 있다.</t>
  </si>
  <si>
    <t>직무 상황에서 요구되는 수수료, 보험료, 위약금, 운임 등을 나타내는 요율표를 분석하여 두 양 사이의 대응 관계를 파악하고 설명하게 한다.</t>
  </si>
  <si>
    <t>[12직수02-04]</t>
  </si>
  <si>
    <t>증가와 감소, 주기적 변화 등의 관계를 나타내는 그래프를 설명할 수 있다.</t>
  </si>
  <si>
    <t>직무 상황에서 요구되는 월, 분기, 연도별 매출액, 판매량, 수출입량 등을 나타내는 그래프를 분석하여 설명하게 한다. 그 결과를 근거로 미래 상황을 예측하여 합리적인 의사 결정을 하게 한다.</t>
  </si>
  <si>
    <t>[12직수02-05]</t>
  </si>
  <si>
    <t>일차방정식 또는 일차부등식을 활용하여 직무 상황의 문제를 해결할 수 있다.</t>
  </si>
  <si>
    <t>직무 상황에서 요구되는 최저비용, 잉여상품 최소화, 가격 비교 등과 같은 문제를 일차방정식 또는 일차부등식을 활용하여 해결하는 것에 중점을 두고, 이를 근거로 주어진 직무 상황에 합리적인 의사 결정을 하게 한다.</t>
  </si>
  <si>
    <t>[12직수03-01]</t>
  </si>
  <si>
    <t>입체도형의 겨냥도와 전개도를 그릴 수 있고, 겨냥도와 전개도를 이용하여 입체도형의 모양을 만들 수 있다.</t>
  </si>
  <si>
    <t>직무에서 다루는 상품, 물품 등의 모양을 파악하여 겨냥도와 전개도를 그리게 한다. 또한 겨냥도와 전개도를 이용하여 상품, 물품 등의 모양을 추측하게 한다.</t>
  </si>
  <si>
    <t>[12직수03-02]</t>
  </si>
  <si>
    <t>입체도형의 위, 앞, 옆에서 본 모양을 표현할 수 있고, 이러한 표현을 보고 입체도형의 모양을 판별할 수 있다.</t>
  </si>
  <si>
    <t>직무에서 물품 배치, 좌석 배치, 무대 진열 등에 의해 구성된 공간을 여러 방향에서 살펴본 모양을 설명하고 평면적 표현으로 시각화할 수 있게 한다. 조립도, 설계도를 이용하여 완성된 물품을 추측하고, 안내도, 배치도, 약도 등을 이해하여 경로나 위치 등을 설명하게 한다.</t>
  </si>
  <si>
    <t>[12직수03-03]</t>
  </si>
  <si>
    <t>도형의 이동, 합동과 닮음을 직무 상황에 연결하여 문제를 해결할 수 있다.</t>
  </si>
  <si>
    <t>평행이동, 대칭이동, 회전이동 등과 같은 도형의 이동 후의 모양을 추측하거나 패턴을 찾아 설명하고 이를 이용하여 디자인 설계에 활용하게 한다. 상품 디자인이나 제품 설계 등과 같은 직무 상황에서 도형의 합동을 활용하게 하고, 그림의 확대 및 축소, 지도의 축척 등을 파악하기 위하여 도형의 닮음을 활용하게 한다.</t>
  </si>
  <si>
    <t>[12직수03-04]</t>
  </si>
  <si>
    <t>직무 상황에서 나타나는 평면도형의 둘레와 넓이를 구할 수 있다.</t>
  </si>
  <si>
    <t>평면도형의 둘레와 넓이를 계산하게 하고, 이를 이용하여 상품, 물품 등의 단면의 둘레나 넓이를 구하게 한다.</t>
  </si>
  <si>
    <t>[12직수03-05]</t>
  </si>
  <si>
    <t>직무 상황에서 나타나는 입체도형의 겉넓이와 부피를 구할 수 있다.</t>
  </si>
  <si>
    <t>입체도형의 겉넓이와 부피를 계산하게 하고, 이를 이용하여 택배 상자, 다양한 모양의 포장 상자 등 상품이나 물품의 겉넓이와 부피를 구하게 한다.</t>
  </si>
  <si>
    <t>[12직수04-01]</t>
  </si>
  <si>
    <t>직무 상황에서 경우의 수를 구할 수 있다.</t>
  </si>
  <si>
    <t>조건에 따른 상품 구성, 물품 배열, 좌석 배치 등과 같은 직무 상황에서의 경우의 수를 구하게 한다.</t>
  </si>
  <si>
    <t>[12직수04-02]</t>
  </si>
  <si>
    <t>어떤 현상이 나타날 가능성을 수치화하여 설명할 수 있다.</t>
  </si>
  <si>
    <t>직무 상황에서 나타나는 가능성을 인식하게 하고, 자료를 근거로 취소 가능성, 인상 가능성 등과 같이 가능성을 수치화하여 설명하게 한다.</t>
  </si>
  <si>
    <t>[12직수04-03]</t>
  </si>
  <si>
    <t>직무 상황의 자료를 목적에 맞게 표와 그래프로 정리할 수 있다.</t>
  </si>
  <si>
    <t>2개 이상의 표를 직무 목적에 적합한 하나의 표로 정리하여 표현하게 한다. 표를 그래프로 표현할 수 있으며, 2가지 이상의 그래프를 직무 목적에 적합한 하나의 그래프로 표현하게 한다. 직무 상황의 자료를 표나 그래프로 표현함으로써 이에 대한 흥미를 갖게 한다.</t>
  </si>
  <si>
    <t>[12직수04-04]</t>
  </si>
  <si>
    <t>직무 상황의 다양한 표와 그래프를 해석할 수 있다.</t>
  </si>
  <si>
    <t>직무 상황에서 제시되는 명렬표, 수와 비율이 나타난 표 등을 해석하여 설명하게 한다. 주어진 표를 해석하여 틀린 곳을 찾아 바로 잡을 수 있게 한다. 직무 상황에서 제시되는 다양한 그래프를 해석하여 설명하게 한다. 표와 그래프를 분석하고 해석하여 미래의 상황을 예측하게 한다.</t>
  </si>
  <si>
    <t>[12직수04-05]</t>
  </si>
  <si>
    <t>다양한 자료의 특성을 파악하여, 직무 목적에 적합한 표나 그래프로 나타내고 합리적인 의사 결정을 할 수 있다.</t>
  </si>
  <si>
    <t>직무 상황에서 요구되는 다양한 자료의 특성을 파악하고, 그 목적에 적합한 표로 나타내거나 그래프로 표현하게 한다. 표현된 표나 그래프를 근거로 상황을 판단하여 합리적으로 의사 결정하게 함으로써 민주 시민으로서의 소양을 함양하게 한다.</t>
  </si>
  <si>
    <t>[12수문01-01]</t>
  </si>
  <si>
    <t>음악과 관련된 수학적 내용을 조사하고, 관련 활동을 수행할 수 있다.</t>
  </si>
  <si>
    <t>피타고라스 음계를 분석해 보며 악기와 화음과 관련된 수학적 원리를 조사하고, 이를 활용하여 음악을 창작하거나 악기를 만드는 등 관련 활동을 수행하게 한다.</t>
  </si>
  <si>
    <t>[12수문01-02]</t>
  </si>
  <si>
    <t>미술과 관련된 수학적 내용을 조사하고, 관련 활동을 수행할 수 있다.</t>
  </si>
  <si>
    <t>원근법, 황금비, 쪽매맞춤 등을 사용한 미술이나 사진 작품과 관련된 기하학적 원리를 조사하고, 이를 활용하여 작품 제작이나 사진 촬영 등 관련 활동을 수행하게 한다.</t>
  </si>
  <si>
    <t>[12수문01-03]</t>
  </si>
  <si>
    <t>문학과 관련된 수학적 내용을 조사하고, 관련 활동을 수행할 수 있다.</t>
  </si>
  <si>
    <t>수학과 관련된 다양한 문학 작품을 찾아 그 속에 포함된 수학적 내용을 조사하고, 이를 활용하여 수학 시나 수학 소설을 창작하는 등 관련 활동을 수행하게 한다.</t>
  </si>
  <si>
    <t>[12수문01-04]</t>
  </si>
  <si>
    <t>영화와 관련된 수학적 내용을 조사하고, 관련 활동을 수행할 수 있다.</t>
  </si>
  <si>
    <t>수학과 관련된 다양한 영화를 찾아 그 속에 포함된 수학적 내용을 조사하고, 이를 활용하여 영상물 제작 등 관련 활동을 수행하게 한다.</t>
  </si>
  <si>
    <t>[12수문02-01]</t>
  </si>
  <si>
    <t>스포츠와 관련된 수학적 내용을 조사하여 그 유용성을 인식할 수 있다.</t>
  </si>
  <si>
    <t>야구, 양궁 등 스포츠 속에 활용된 수학적 원리에 대해 알아보게 한다. 체조, 빙상 경기 등의 점수 산출 방식에 대해 알아보고 스포츠의 공정성을 추구하기 위한 수학의 역할과 유용성을 인식하게 한다. 각종 스포츠와 체력 관리에 활용된 수학적 원리에 대해 조사하고 건강한 삶과 연계하여 이를 실천하게 할 수 있도록 한다.</t>
  </si>
  <si>
    <t>[12수문02-02]</t>
  </si>
  <si>
    <t>게임과 관련된 수학적 내용을 조사하고 관련 활동을 수행할 수 있다.</t>
  </si>
  <si>
    <t>게임 속 수학이나 수학 게임 등의 사례를 찾아 관련된 수학적 원리를 조사하고, 게임 전략을 수학적으로 수립하거나 자신만의 수학 게임을 만드는 등 관련 활동을 수행하게 한다.</t>
  </si>
  <si>
    <t>[12수문02-03]</t>
  </si>
  <si>
    <t>디지털 기술에 활용된 수학적 내용을 조사하여 설명할 수 있다.</t>
  </si>
  <si>
    <t>디지털 기술에 활용되는 여러 암호 방식이나 보안 체계, 바코드나 QR코드, 컴퓨터 그래픽 등의 다양한 공학 속 수학적 원리를 찾아 조사하고 설명하게 한다.</t>
  </si>
  <si>
    <t>[12수문02-04]</t>
  </si>
  <si>
    <t>투표와 관련된 수학적 내용을 조사하고 이를 활용하여 합리적 의사 결정을 위한 방법을 제안할 수 있다.</t>
  </si>
  <si>
    <t>투표에 활용되는 수학적 원리에 대해 알아보고, 이를 활용해 공정한 투표가 이루어지도록 하는 수학적 결정 방법을 제안하는 내용을 작성, 발표하는 등의 활동을 수행하고 합리적으로 의사 결정하게 함으로써 민주 시민으로서의 소양을 함양하게 한다.</t>
  </si>
  <si>
    <t>[12수문03-01]</t>
  </si>
  <si>
    <t>민속 수학과 건축 양식 속에 나타난 수학적 원리에 대해 탐구하고 문화 다양성을 이해한다.</t>
  </si>
  <si>
    <t>마야 달력, 십간십이지 등과 같은 고유한 민속 수학이나 석굴암이나 판테온 등과 같은 각 나라의 건축물에서 찾아볼 수 있는 수학적 원리를 조사하게 한다. 이와 같은 활동을 통해 문화 다양성을 이해하게 한다.</t>
  </si>
  <si>
    <t>[12수문03-02]</t>
  </si>
  <si>
    <t>점자표에 사용된 수학적 원리에 대해 탐구하고 이를 활용하여 산출물을 설계할 수 있다.</t>
  </si>
  <si>
    <t>점자표나 시각장애인용 시계 등에 활용되는 진법을 알아보고, 이를 활용하여 산출물을 만드는 활동을 통해 사회적 소수자를 배려하는 공동체 의식을 함양하게 한다.</t>
  </si>
  <si>
    <t>[12수문03-03]</t>
  </si>
  <si>
    <t>대중매체로부터 얻은 데이터를 정리, 분석하여 그 의미와 가치를 해석할 수 있다.</t>
  </si>
  <si>
    <t>워드클라우드 등의 방법을 사용하여 인쇄, 영상, 음성 매체 및 사회 관계망 서비스(SNS) 등의 대중매체로부터 얻은 데이터를 정리, 분석하여 대중문화의 여러 측면에 대해 해석하게 한다.</t>
  </si>
  <si>
    <t>[12수문03-04]</t>
  </si>
  <si>
    <t>가치소비를 위한 의사 결정 방법을 탐구하고 실천 방법을 제시할 수 있다.</t>
  </si>
  <si>
    <t>가치소비의 의미를 이해하고 서로의 생각을 공유하게 한다. 산업 쓰레기, 공정 무역 등과 같은 녹색소비, 자신의 취향에 따라 가치를 부여하는 가치소비를 위한 수학적 의사 결정 방법을 모색하고 이를 통해 생태전환을 실천하게 한다.</t>
  </si>
  <si>
    <t>[12수문04-01]</t>
  </si>
  <si>
    <t>식생활과 관련된 문제를 수학적으로 분석하고 이를 개선하기 위한 방법을 제안할 수 있다.</t>
  </si>
  <si>
    <t>오염된 식재료, 식단의 불균형, 식품 첨가제, 식량 부족 등 식생활 문제와 관련된 자료를 수집하여 수학적으로 분석하고 이를 개선할 수 있는 방법을 제안하게 한다.</t>
  </si>
  <si>
    <t>[12수문04-02]</t>
  </si>
  <si>
    <t>대기 오염과 관련된 문제를 수학적으로 분석하고 이를 개선하기 위한 방법을 제안할 수 있다.</t>
  </si>
  <si>
    <t>탄소 발자국, 지구 온난화 등 대기 오염과 관련된 자료를 수집하여 수학적으로 분석하고 이를 개선할 수 있는 방법을 제안하게 한다.</t>
  </si>
  <si>
    <t>[12수문04-03]</t>
  </si>
  <si>
    <t>사막화 현상과 관련된 문제를 수학적으로 분석하고 이를 개선하기 위한 방법을 제안할 수 있다.</t>
  </si>
  <si>
    <t>삼림 파괴, 황사 등 사막화 현상과 관련된 자료를 수집하고 수학적으로 분석하고 이를 개선할 수 있는 방법을 제안하게 한다.</t>
  </si>
  <si>
    <t>[12수문04-04]</t>
  </si>
  <si>
    <t>생물 다양성과 생명권 관련 자료를 수학적으로 분석하고 이를 통해 생태 감수성을 함양할 수 있다.</t>
  </si>
  <si>
    <t>동⋅식물 보호종의 포획 및 밀거래, 동물 학대 등 생물 다양성과 생명권 관련 자료를 수집하여 수학적으로 분석하고 실태 개선 방법을 제안함으로써 생태 감수성을 함양하게 한다.</t>
  </si>
  <si>
    <t>[12실통01-01]</t>
  </si>
  <si>
    <t>통계와 통계적 방법의 유용성과 필요성을 인식할 수 있다.</t>
  </si>
  <si>
    <t>실생활에서 통계가 활용되고 있는 사례를 국가통계포털 등을 이용하여 찾아보게 한다.</t>
  </si>
  <si>
    <t>[12실통01-02]</t>
  </si>
  <si>
    <t>통계적 문제해결 과정을 이해하고 각 단계의 역할을 설명할 수 있다.</t>
  </si>
  <si>
    <t>다양한 사례를 통해 불확실한 현상에서 나타나는 변이성을 이해하고 통계적으로 해결 가능한 문제를 파악하게 한다.</t>
  </si>
  <si>
    <t>[12실통01-03]</t>
  </si>
  <si>
    <t>모집단과 표본의 뜻을 알고, 표본추출의 방법을 이해하여 문제 상황에 맞는 방법을 선택할 수 있다.</t>
  </si>
  <si>
    <t>통계 조사 방법이 전수 조사와 표본 조사로 구분되는 것을 알고, 상황과 목적에 따라 통계 조사 방법을 선택하게 한다. 대표적인 확률추출 방법에 단순임의추출, 층화임의추출, 계통추출 등이 있다는 것을 알고, 사례를 통해 각각의 추출 방법을 이해하게 한다.</t>
  </si>
  <si>
    <t>[12실통02-01]</t>
  </si>
  <si>
    <t>자료의 종류를 알고 설명할 수 있다.</t>
  </si>
  <si>
    <t>자료는 특성에 따라 범주형 자료와 수치형 자료로 구분할 수 있게 한다. 자료의 특성은 척도에 따라 수로 표현될 수 있음을 이해하고 명목척도, 순서척도, 구간척도, 비율척도 등을 구분하게 한다.</t>
  </si>
  <si>
    <t>[12실통02-02]</t>
  </si>
  <si>
    <t>자료의 수집 방법을 이해하고 문제 상황에 맞는 자료 수집 방법을 선택할 수 있다.</t>
  </si>
  <si>
    <t>자료를 수집하는 방법에는 실험이나 관찰, 측정, 설문조사, 인터뷰, 2차 자료 수집 등 다양한 방법이 있으며, 자료 수집 방법을 결정하기 위해서 조사 대상, 목적, 기간, 탐구 문제 등을 고려할 수 있음을 이해하게 한다.</t>
  </si>
  <si>
    <t>[12실통02-03]</t>
  </si>
  <si>
    <t>그래프의 종류를 알고 자료의 특성을 나타내는 적절한 그래프를 그릴 수 있다.</t>
  </si>
  <si>
    <t>자료의 특성과 탐구 목적에 맞는 적절한 그래프를 선택하고, 공학 도구를 이용하여 그래프를 표현하게 할 수 있다. 실생활 자료를 다양한 그래프로 표현함으로써 이에 대한 흥미를 갖게 한다.</t>
  </si>
  <si>
    <t>[12실통02-04]</t>
  </si>
  <si>
    <t>대푯값과 산포도의 종류를 알고 자료의 특성을 나타내는 값으로 요약할 수 있다.</t>
  </si>
  <si>
    <t>자료의 특성과 탐구 목적에 맞는 적절한 대푯값과 산포도를 선택하고, 이를 공학 도구를 이용하여 구할 수 있게 한다.</t>
  </si>
  <si>
    <t>[12실통03-01]</t>
  </si>
  <si>
    <t>정규분포와 t분포를 공학 도구를 이용하여 탐구할 수 있다.</t>
  </si>
  <si>
    <t>공학 도구를 이용하여 정규분포와 t분포 곡선의 형태나 성질을 이해하게 한다.</t>
  </si>
  <si>
    <t>[12실통03-02]</t>
  </si>
  <si>
    <t>실생활에서 공학 도구를 이용하여 모평균을 추정할 수 있다.</t>
  </si>
  <si>
    <t>공학 도구를 이용하여 모평균을 추정하고 추정 결과를 해석하게 한다.</t>
  </si>
  <si>
    <t>[12실통03-03]</t>
  </si>
  <si>
    <t>실생활에서 공학 도구를 이용하여 모비율을 추정할 수 있다.</t>
  </si>
  <si>
    <t>공학 도구를 이용하여 모비율을 추정하고 추정 결과를 해석하게 한다.</t>
  </si>
  <si>
    <t>[12실통03-04]</t>
  </si>
  <si>
    <t>가설검정을 이해하고, 실생활에서 공학 도구를 이용하여 가설을 검정할 수 있다.</t>
  </si>
  <si>
    <t>대립가설, 귀무가설을 설정하고 적절한 가설검정 방법을 선택한 후, 공학 도구를 이용하여 가설을 검정하고 그 결과를 해석하게 한다.</t>
  </si>
  <si>
    <t>[12실통04-01]</t>
  </si>
  <si>
    <t>실생활에서 통계적 탐구 과정에 따라 문제를 해결하고 합리적인 의사 결정을 할 수 있다.</t>
  </si>
  <si>
    <t>자신의 흥미, 관심, 진로에 맞는 탐구 주제를 선정하여 표본 조사를 설계하고, 자료를 수집하게 한다. 수집한 자료를 정리하고 분석하여 문제에 대한 결론을 도출하게 한다.</t>
  </si>
  <si>
    <t>[12실통04-02]</t>
  </si>
  <si>
    <t>통계적 탐구 과정과 그 결과를 비판적으로 성찰할 수 있다.</t>
  </si>
  <si>
    <t>통계적 탐구 과정과 결과를 산출물로 만들어 친구들에게 설명하고 상호 작용하는 과정을 통해 비판적으로 성찰할 수 있게 한다.</t>
  </si>
  <si>
    <t>[12수과01-01]</t>
  </si>
  <si>
    <t>수학과제 탐구의 의미와 필요성을 설명할 수 있다.</t>
  </si>
  <si>
    <t>수학의 개념, 원리, 법칙을 여러 분야와 연결하여 관심 있는 수학 주제에 대해 심층적으로 탐구하는 수학과제 탐구의 의미와 필요성을 다양한 탐구 유형과 사례를 통해 이해하고 설명할 수 있게 한다.</t>
  </si>
  <si>
    <t>[12수과01-02]</t>
  </si>
  <si>
    <t>올바른 연구 윤리를 이해하고, 탐구의 전 과정에서 이를 준수한다.</t>
  </si>
  <si>
    <t>탐구의 계획, 수행, 보고 등과 같은 전 과정에서 책임 있는 태도로 바람직하고 건전한 연구를 추진하기 위해 지켜야 할 윤리적 원칙을 여러 가지 표절과 조작의 사례를 통해 이해하고 토의⋅토론 등의 상호 작용을 통해 올바른 연구 윤리의 중요성을 인식하게 한다. 인터넷이나 서적의 자료, 다른 사람의 아이디어 등을 참고할 때는 참고문헌 표기법을 익혀 정확한 출처를 표시하도록 한다. 탐구의 전 과정 및 방법에 있어서 모든 생명의 가치를 존중하고 존엄성을 훼손하지 않도록 생명윤리를 준수하고 안전을 위해 노력해야 함을 인식하고 전 과정에서 이를 준수하며 실천하여 민주 시민으로서의 소양을 함양하게 한다.</t>
  </si>
  <si>
    <t>[12수과02-01]</t>
  </si>
  <si>
    <t>문헌 조사를 통해 탐구하는 방법과 절차를 이해하고 설명할 수 있다.</t>
  </si>
  <si>
    <t>탐구 주제와 관련된 선행 연구를 찾기 위해 연구 논문, 각종 보고서, 서적, 영상 자료 등을 검색하는 방법을 이해하고, 찾은 선행 연구를 정리하게 한다. 탐구 문제를 해결하기 위해 기존의 문헌 자료를 검토하는 탐구 방법 및 절차를 이해하고, 문서를 찾아 체계적으로 정리하여 결론을 내리는 방법을 이해하여 체득하게 한다.</t>
  </si>
  <si>
    <t>[12수과02-02]</t>
  </si>
  <si>
    <t>사례 조사를 통해 탐구하는 방법과 절차를 이해하고 설명할 수 있다.</t>
  </si>
  <si>
    <t>탐구 문제의 해결을 위해 현재의 사태를 파악하여 사실대로 기술하는 사례조사에 대해 이해하고 질문지법과 통계 자료 활용 등의 탐구 방법 및 절차를 이해하게 한다. 적합한 질문을 만드는 법과 적절한 자료를 수집하기 위한 정보 검색에 대해 충분히 이해하고 자료를 허위로 만들거나 수집된 자료를 임의로 조작하지 않게 한다.</t>
  </si>
  <si>
    <t>[12수과02-03]</t>
  </si>
  <si>
    <t>수학 실험을 통해 탐구하는 방법과 절차를 이해하고 설명할 수 있다.</t>
  </si>
  <si>
    <t>수학 실험은 논리적 추론을 통해 수학 내용 자체를 탐구하거나 자연 또는 사회 현상을 수학적으로 탐구하는 방법임을 이해하게 한다. 실생활 문제 상황을 수학 문제로 변환한 다음 수학 문제를 해결하고 그 결과를 해석하여 다시 문제 상황을 해결할 수 있는 수학적 모델링 과정을 이해하게 한다.</t>
  </si>
  <si>
    <t>[12수과02-04]</t>
  </si>
  <si>
    <t>개발 연구를 통해 탐구하는 방법과 절차를 이해하고 설명할 수 있다.</t>
  </si>
  <si>
    <t>개발 연구는 수학을 이용하여 주제를 설정한 후 주제에 맞게 산출물을 설계하여 개발하는 방법임을 이해하게 한다. 개발 연구 주제로 퍼즐이나 보드게임 만들기, 확률을 이용한 게임 설계하기, 공학 도구를 이용한 그림 그리기, 수학을 이용한 창의적 물건 발명 등을 다룰 수 있다.</t>
  </si>
  <si>
    <t>[12수과03-01]</t>
  </si>
  <si>
    <t>여러 가지 현상에서 수학 탐구 주제를 선정하고 탐구 계획을 수립할 수 있다.</t>
  </si>
  <si>
    <t>수학 탐구 주제는 학생의 흥미와 관심, 학교 실정 등에 맞게 학생이 스스로 선택하게 할 수 있다. 탐구 주제를 바탕으로 탐구 문제를 선정할 때는 탐구의 초점이 명확하고 탐구할 가치가 있는지, 학생이 주어진 시간 내에 탐구할 수 있는지 등을 고려하게 한다. 다양한 탐구 방법 중 탐구 문제를 해결하는 데 적절한 방법을 선정하여 탐구 계획을 수립하게 한다.</t>
  </si>
  <si>
    <t>[12수과03-02]</t>
  </si>
  <si>
    <t>적절한 탐구 방법과 절차에 따라 탐구를 수행할 수 있다.</t>
  </si>
  <si>
    <t>과제 탐구는 주제의 성격이나 학생의 필요와 요구에 따라 개인 또는 집단으로 수행하고, 협력적으로 과제를 탐구할 때는 균형 있는 역할 분담을 통해 책임감 있게 탐구하게 한다. 탐구 수행 과정은 끈기를 갖고 시행착오를 반복하여 도전하며 결과를 도출하거나 설계를 수정하는 과정을 거치며 탐구 주제와 관련한 함의를 도출하는 단계임을 이해하게 한다. 탐구가 진행되는 과정이 공유될 수 있도록 중간 점검을 실시하여 보완하고 수정하게 한다.</t>
  </si>
  <si>
    <t>[12수과03-03]</t>
  </si>
  <si>
    <t>탐구 결과를 정리하여 산출물을 만들고 발표할 수 있다.</t>
  </si>
  <si>
    <t>탐구 문제에 대한 유의미한 결론을 도출하여 탐구 결과를 정리한다. 탐구 과정 및 결과에 대해 한계점을 분석하고 자료와 정보에 기반하여 합리적인 의사 결정을 하게 한다. 탐구 산출물 제작 및 발표는 수학 소논문, STEAM형 산출물, 포스터, 보고서, 수학 잡지, 수학 소설, 수학 만화, 수학 신문 등의 여러 유형에서 학생의 흥미와 관심, 학교의 실정에 맞게 선택하여 정확한 수학적 표현을 사용하여 수행하게 한다.</t>
  </si>
  <si>
    <t>[12수과03-04]</t>
  </si>
  <si>
    <t>탐구 과정과 결과를 반성하고 평가할 수 있다.</t>
  </si>
  <si>
    <t>탐구 결과를 발표한 후에는 동료 평가, 자기 평가 등을 통해 학생이 스스로 수학 주제 탐구의 전 과정을 성찰하게 하고, 탐구 과정 및 산출물을 통해 수학의 유용성을 인식하게 한다.</t>
  </si>
  <si>
    <t>[9기가01-01]</t>
  </si>
  <si>
    <t>자아 존중감을 향상시키고 긍정적인 자아 정체성을 형성하기 위해 청소년기의 발달 특징을 자신의 발달 특징과 연결 지어 자신을 총체적으로 이해한다.</t>
  </si>
  <si>
    <t>[9기가01-02]</t>
  </si>
  <si>
    <t>의생활, 식생활이 청소년기 성장과 건강에 미치는 영향을 탐색하고 성장과 건강을 위해 바람직한 의생활과 식생활의 실천 방안을 탐색하여 이를 실천한다.</t>
  </si>
  <si>
    <t>이 성취기준은 의생활과 식생활을 어떻게 영위하는지에 따라 청소년기 발달에 차이가 발생할 수 있음을 이해하고, 건강한 생활을 영위하고 청소년기의 긍정적인 발달을 이끄는 방안을 탐색하여 실천하도록 한다.</t>
  </si>
  <si>
    <t>[9기가01-03]</t>
  </si>
  <si>
    <t>건강과 성장을 위한 청소년기 영양의 중요성을 이해하여 자신의 식생활을 평가하고, 식생활 문제를 개선하여 건강한 식생활을 실천한다.</t>
  </si>
  <si>
    <t>[9기가01-04]</t>
  </si>
  <si>
    <t>의복디자인 요소를 고려한 자기이미지에 맞는 옷차림으로 자신을 긍정적으로 표현한다.</t>
  </si>
  <si>
    <t>이 성취기준은 자기 이미지에 맞는 옷차림을 하는 것이 자아를 표현하는 효과적인 수단이 될 수 있음을 인식하고, 의복디자인 요소를 고려한 옷차림으로 자신을 긍공통 교육과정 – 실과(기술⋅가정) -정적으로 표현할 수 있도록 한다. 또한 한복에서 자신에게 맞는 디자인 요소를 찾아보는 활동을 추가하여 진행할 수 있다.</t>
  </si>
  <si>
    <t>[9기가01-05]</t>
  </si>
  <si>
    <t>청소년기의 건강한 발달을 위협하는 스트레스, 분노, 우울 등의 여러 가지 행동 및 심리 문제의 원인을 분석하고, 적응 유연성을 기를 수 있는 다양한 예방 및 해결방안을 탐색하여 적용한다.</t>
  </si>
  <si>
    <t>[9기가01-06]</t>
  </si>
  <si>
    <t>사회변화로 증가하는 여러 가지 청소년 중독의 유형을 탐색하여 이를 예방하고 대응할 수 있는 방안을 제안한다.</t>
  </si>
  <si>
    <t>이 성취기준은 디지털 생활환경의 확산으로 나타나는 중독 문제(게임, 스마트폰, 도박 등)와 청소년 건강과 관련된 중독 문제(니코틴, 카페인, 약물 등)의 발생 원인과 영향을 분석하고, 이를 예방 및 해결하는 방안을 제안하도록 한다.</t>
  </si>
  <si>
    <t>[9기가01-07]</t>
  </si>
  <si>
    <t>자기 이해를 기반으로 전 생애적 관점에서 진로 설계의 중요성을 인식하고, 자기 적성에 맞는 진로를 설계한다.</t>
  </si>
  <si>
    <t>[9기가01-08]</t>
  </si>
  <si>
    <t>성적 자기 결정권의 중요성을 이해하고, 성인지 감수성과 건강한 성 가치관을 함양하여 상호 존중의 관계를 실천할 수 있는 방안을 탐색한다.</t>
  </si>
  <si>
    <t>이 성취기준은 이차 성징의 변화를 경험하는 중학교 학습자들이 남성과 여성의 서로 다른 성에 대해 이해하여 부정확한 지식이나 편견을 갖지 않도록 하며, 성인지 감수성을 바탕으로 자신의 뜻을 분명히 하는 주체적이고 책임감 있는 태도를 길러 자기 자신과 상대방을 보호하며 존중할 수 있는 성적 자기 결정권에 대한 이해를 함양하도록 한다. 이 권리는 왜곡된 성 관련 정보와 위험한 환경으로부터 자신을 보호할 수 있는 근거가 될 수 있으며, 다른 의미로 해석되지 않도록 유의한다.</t>
  </si>
  <si>
    <t>[9기가01-09]</t>
  </si>
  <si>
    <t>일상생활 및 가상공간에서 만나는 또래와 건강한 관계를 형성하고, 다양한 주변인들과 친밀한 세대 간 관계를 형성하는 방안을 탐색하여 실천한다.</t>
  </si>
  <si>
    <t>이 성취기준은 자신을 둘러싼 관계에는 횡적(또래) 관계뿐 아니라 종적(다양한 세대) 관계도 있음을 인식하고, 다양한 주변인들과 건강하고 친밀한 관계를 형성하는 방안을 실천하도록 한다. 이때, 현실 세계에서 교류하는 타인뿐만 아니라 확장된 생활환경(사회 관계망 서비스(SNS), 게임, 메타버스와 같은 가상세계)에서 교류하는 타인도 함께 다룬다. 인터넷상의 익명성을 올바르게 활용할 수 있는 방안과 인터넷 언어폭력, 사이버 폭력의 심각성을 알아보는 활동을 추가하여 진행할 수 있다.</t>
  </si>
  <si>
    <t>[9기가01-10]</t>
  </si>
  <si>
    <t>다양한 현대 가족에 내재된 가족생활의 보편성과 고유한 가치를 존중하는 동시에 가족에 대한 유연한 태도를 길러, 뉴노멀 사회에서의 새로운 가족문화를 탐색한다.</t>
  </si>
  <si>
    <t>이 성취기준은 사회 변화로 인해 가족 유형의 다양성이 증가하고 있지만, 이러한 다양성을 관통하는 가족이 지닌 고유의 가치를 인식하도록 한다. 또한 다양한 가족에 대한 유연한 태도와 더불어 살아가는 공동체의 가치에 대해 탐색하도록 한다. 나아가 테크놀로지와 미디어 발달로 인해 발생한 변화에 적합한 새로운 가족문화를 탐색하여 실천할 수 있도록 한다.</t>
  </si>
  <si>
    <t>[9기가01-11]</t>
  </si>
  <si>
    <t>대인 관계에서 발생하는 갈등의 원인과 배경을 분석하고, 효과적인 의사소통을 통해 갈등을 해결하는 방안을 탐색하여 이를 적용한다.</t>
  </si>
  <si>
    <t>이 성취기준은 갈등을 원만하게 해결하기 위한 의사소통능력의 필요성을 인식하고, 효과적 의사소통 방법의 의미와 원리를 파악한다. 또한 객관적 관점에서 갈등을 조망하여 타인과의 갈등을 해결하고 원만한 대인 관계를 형성할 수 있도록 한다.</t>
  </si>
  <si>
    <t>[9기가01-12]</t>
  </si>
  <si>
    <t>성폭력과 가정폭력의 사회⋅구조적인 원인과 영향을 분석하고, 다양한 문제 상황을 중심으로 이를 대처하고 지원하는 방안을 탐색한다.</t>
  </si>
  <si>
    <t>[9기가02-01]</t>
  </si>
  <si>
    <t>생활자원의 종류와 특성 및 순환과정을 이해하고, 의식주 자원관리의 중요성을 인식한다.</t>
  </si>
  <si>
    <t>이 성취기준은 생활자원을 인적⋅물적 자원으로 구분하고 일상생활을 영위하는데 필수적인 의식주 자원이 물적 자원에 포함됨을 이해한다. 점차 심각해지는 기후위기에 대응하여 인간과 자연이 공존하기 위해서는 순환 가능성을 고려한 의식주 자원관리가 중요함을 인식할 수 있게 한다.</t>
  </si>
  <si>
    <t>[9기가02-02]</t>
  </si>
  <si>
    <t>한국인 영양소 섭취기준과 식사구성안을 바탕으로 균형 잡힌 식사를 계획한다.</t>
  </si>
  <si>
    <t>[9기가02-03]</t>
  </si>
  <si>
    <t>건강과 환경을 고려한 식품의 선택, 관리, 보관 방법을 탐색하여 실생활에 적용한다.</t>
  </si>
  <si>
    <t>[9기가02-04]</t>
  </si>
  <si>
    <t>개인과 가족의 영양 요구와 지속가능성을 충족하는 식사를 계획하고 조리한다.</t>
  </si>
  <si>
    <t>이 성취기준은 식사 계획 시 개인과 가족의 영양 및 기호 등을 고려하는 것뿐만 아니라 제철 식품, 로컬 푸드, 대체식품, 탄소배출, 음식물 쓰레기 감량 등의 지속가능성을 고려하여 식품을 선택하고, 조리 시에도 건강 및 안전을 고려한 조리법을 적용하도록 한다.</t>
  </si>
  <si>
    <t>[9기가02-05]</t>
  </si>
  <si>
    <t>의복 재료의 특성을 이해하고 건강과 환경을 고려한 의복의 세탁과 관리 방안을 탐색하여 실천한다.</t>
  </si>
  <si>
    <t>[9기가02-06]</t>
  </si>
  <si>
    <t>지속가능성을 고려하여 의복 마련 계획을 세우고, 이를 창의적이고 친환경적인 의생활에 적용한다.</t>
  </si>
  <si>
    <t>이 성취기준은 패스트 패션과 같은 현대 사회의 의생활 문제를 분석하여 의복 구매 시 디자인, 가격 등의 개인적 요구뿐 아니라 자신의 선택이 사회, 환경에 미치는 영향까지도 고려해야 함을 성찰한다. 나아가 3R(Reduce, Reuse, Re(Up)cycle)을 일상생활에서 실천하는 방안을 탐색하여 실천하도록 한다.</t>
  </si>
  <si>
    <t>[9기가02-07]</t>
  </si>
  <si>
    <t>주거의 의미와 가치가 변화함에 따라 나타나는 다양한 생활 양식을 탐색하고, 더불어 살아가는 주거 문화를 실천한다.</t>
  </si>
  <si>
    <t>이 성취기준은 주거의 의미와 기능을 살펴보고, 현대 사회 주거 가치와 인식 변화에 따른 다양한 주생활 양식을 탐색한다. 또한 대면 교류가 줄어들고 있는 현실에서 더불어 사는 주거 문화의 중요성을 인식하고 실천 방안을 탐색하여 공동체 가치 함양 및 역량이 강화되도록 한다.</t>
  </si>
  <si>
    <t>[9기가02-08]</t>
  </si>
  <si>
    <t>생활공간으로서 주거환경의 조건을 분석하고, 쾌적하고 안전한 주거 관리 방안을 탐색하여 실생활에 적용한다.</t>
  </si>
  <si>
    <t>이 성취기준은 열, 빛, 공기, 소음이 인간에게 미치는 영향을 이해하여 쾌적한 주거환경을 조성하기 위한 능력을 기른다. 특히 디지털 환경 확대에 따른 인공지능 기반 주거 서비스(안전성, 쾌적성, 편의성, 유지 및 관리 등)의 쾌적성과 안전성에 대해 분석해 보도록 한다. 또한 주생활에서 탄소중립을 실천하기 위해 가정생활에서의 탄소발자국 줄이기 활동 등을 진행할 수 있다.</t>
  </si>
  <si>
    <t>[9기가02-09]</t>
  </si>
  <si>
    <t>효율적인 주거 공간 구성 방안을 탐색하여 자신의 생활에 적합한 주거 공간 구성에 활용한다.</t>
  </si>
  <si>
    <t>[9기가02-10]</t>
  </si>
  <si>
    <t>의식주 생활자원의 생산과 폐기과정을 탐색하고, 일상생활에서 의식주 생활자원을 선택한 과정과 그 결과를 성찰한다.</t>
  </si>
  <si>
    <t>이 성취기준은 의식주 생활자원의 순환과정에 초점을 두어 그 일생을 추론하고, 자신과 가족의 선택이 미치는 영향을 실천적 추론 등의 방법을 통해 성찰한다.</t>
  </si>
  <si>
    <t>[9기가02-11]</t>
  </si>
  <si>
    <t>급변하는 소비환경의 변화를 이해하고, 다양한 소비자 정보를 비판적으로 분석하여 자신의 소비생활에 활용한다.</t>
  </si>
  <si>
    <t>이 성취기준은 디지털 소비환경으로 변화함에 따라 무분별하게 쏟아지는 사회 관계망 광고, 추적 광고, 맞춤형 광고 등의 소비자 정보를 비판적으로 분석하여 문제점을 인식한다. 신유형 광고와 중립적 소비자 정보를 구분하는 활동을 통해 미디어 리터러시 역량을 함양하고, 유용한 소비자 정보를 선별하여 자신의 소비생활에 가치 있게 활용할 수 있도록 지도한다.</t>
  </si>
  <si>
    <t>[9기가02-12]</t>
  </si>
  <si>
    <t>청소년 소비자의 특성을 이해하고 소비자 의사 결정 과정을 통한 합리적인 소비생활을 실천한다.</t>
  </si>
  <si>
    <t>[9기가02-13]</t>
  </si>
  <si>
    <t>책임 있는 소비자로서 소비자의 권리와 역할을 인식하고, 소비생활에서 발생하는 소비자 문제와 해결 방안을 탐색하여 소비생활에 적용한다.</t>
  </si>
  <si>
    <t>이 성취기준은 소비자 문제와 관련된 사회적 현안을 선정하여 소비자 문제의 발생 원인을 파악하고 적합한 문제 해결 방안을 선택하고 실천하여, 비판적 사고능력을 기르고 적극적인 소비자 시민으로서의 사회적 역할을 탐색해 보도록 한다.</t>
  </si>
  <si>
    <t>[9기가02-14]</t>
  </si>
  <si>
    <t>디지털 생활환경으로 나타난 일상생활의 혁신과 변화를 비판적으로 분석한 결과를 삶의 질 향상에 활용할 수 있는 방안을 탐색하여 제안한다.</t>
  </si>
  <si>
    <t>이 성취기준은 디지털 생활환경으로 변화함에 따라 의식주 생활에 새롭게 등장한 변화를 찾아 이것이 우리 삶에 미친 긍정적 영향과 부작용을 모두 살펴보고, 이를 삶의 질 향상에 활용할 수 있는 방안을 탐색하여 제안하도록 한다.</t>
  </si>
  <si>
    <t>[9기가03-01]</t>
  </si>
  <si>
    <t>기술의 의미와 특성을 이해하고 기술의 발달에 따른 사회의 변화를 파악하며, 미래의 기술과 사회의 변화를 평가하고 예측함으로써 기술에 대한 가치를 인식한다.</t>
  </si>
  <si>
    <t>[9기가03-02]</t>
  </si>
  <si>
    <t>기술의 표준화, 적정 기술과 같은 기술 활용 사례를 탐구하고, 기술이 사회에 미치는 영향을 바르게 인식하여 기술 혁신과 사회 발전에 참여하는 태도를 갖는다.</t>
  </si>
  <si>
    <t>[9기가03-03]</t>
  </si>
  <si>
    <t>기술적 문제 해결 과정의 이해를 바탕으로 문제를 확인하고, 정보를 수집하며, 확산적 사고와 수렴적 사고를 통해 해결방안을 탐색하고 대안을 선정한다.</t>
  </si>
  <si>
    <t>이 성취기준은 기술적 문제 해결 과정의 각 단계를 학생들이 이해하고, 각 단계에 맞는 실제적인 활동을 수행하여 기술적 문제해결 역량을 기르는데 주안점이 있다.</t>
  </si>
  <si>
    <t>[9기가03-04]</t>
  </si>
  <si>
    <t>기술적 문제 해결 방안을 시각화하고 도면을 작성하며, 올바른 도구를 선택하여 시제품 또는 모형을 제작 및 평가하는 과정에서 협업 능력, 공감 능력과 의사소통 능력을 기른다.</t>
  </si>
  <si>
    <t>이 성취기준은 기술적 문제 해결 과정의 각 단계를 학생들이 이해하고, 각 단계에 맞는 실제적인 활동을 수행하여 기술적 문제해결 역량을 기르는데 주안점이 있다. 이 성취기준은 아이디어의 시각화는 기술적 문제 해결 과정에서 문제를 해결하는 주요 수단이라는 것을 인지하고, 아이디어의 산출 및 기록, 소통 등의 중요성을 이해하는데 주안점을 둔다. 또한 도면 작성 시 투상법, 도면의 크기, 척도, 선의 종류와 용도, 치수 기재 등 제도의 기본 통칙(KS)을 이해하고 도면 작성을 체험하도록 한다.공통 교육과정 – 실과(기술⋅가정) -</t>
  </si>
  <si>
    <t>[9기가03-05]</t>
  </si>
  <si>
    <t>발명의 개념을 이해하고, 발명 문제 해결 과정을 바탕으로 발명 활동을 체험하여 창조에 대한 자신감을 갖고 발명이 사회에 미친 영향과 가치를 인식한다.</t>
  </si>
  <si>
    <t>[9기가03-06]</t>
  </si>
  <si>
    <t>지식재산권의 종류와 특징을 이해하고, 지식재산과 관련한 다양한 사례 조사 및 체험을 통해 지식재산권의 창출, 보호, 활용을 이해하고 실천한다.</t>
  </si>
  <si>
    <t>[9기가03-07]</t>
  </si>
  <si>
    <t>재료의 종류와 특성을 이해하며, 목적에 맞는 재료를 선택하고, 안전한 가공 방법을 실천한다.</t>
  </si>
  <si>
    <t>이 성취기준은 기술적 활동에 사용되는 주요 재료인 목재, 금속, 플라스틱 등의 종류, 특성, 용도에 대해 이해하고 안전하고 바른 방법으로 재료를 가공 및 활용하는 능력을 기르는데 주안점이 있다.</t>
  </si>
  <si>
    <t>[9기가03-08]</t>
  </si>
  <si>
    <t>설계의 가치와 필요성을 인식하고, 제도의 기본 통칙에 따라 도면을 작성한다.</t>
  </si>
  <si>
    <t>이 성취기준은 기술적 산출물을 제작하거나 아이디어를 표현하고자 할 때 스케치, 도면, 디지털 기반 설계 등 다양한 아이디어 시각화 방법들이 사용되므로 목적에 따른 도면의 작성 방법, 도면의 기능과 필요성을 인식하는데 있다. 또한 도면 작성 시 투상법, 도면의 크기, 척도, 선의 종류와 용도, 치수 기재 등 제도의 기본 통칙(KS)을 이해하고 도면 작성을 체험하도록 하는데 주안점을 둔다.</t>
  </si>
  <si>
    <t>[9기가03-09]</t>
  </si>
  <si>
    <t>제품의 제작 순서를 이해하고 올바른 도구를 선택하여 제품을 안전하게 제작하고 평가한다.</t>
  </si>
  <si>
    <t>이 성취기준은 학생이 기술적 문제 해결 능력을 함양하기 위해 제품을 직접 제작하는 것은 중요한 학습 활동이므로 설정하였다. 따라서 문제 해결에 필요한 제품 가공 방법을 이해할 수 있도록 하는데 주안점을 둔다.</t>
  </si>
  <si>
    <t>[9기가03-10]</t>
  </si>
  <si>
    <t>친환경 에너지 자원의 특성을 이해하고, 종류와 활용 사례를 조사하여 친환경 에너지 개발의 중요성을 인식한다.</t>
  </si>
  <si>
    <t>이 성취기준은 기후변화, 환경오염 및 에너지 자원 고갈 문제는 기술의 발달과 함께 지속적으로 제기되고 있는 문제이며, 친환경 에너지 자원은 지속가능한 기술의 발전을 위해 중요하기 때문에 친환경 에너지의 다양한 활용과 개발 사례를 조사함으로써 우리의 생활에서 친환경 에너지의 필요성을 인식하도록 하는데 주안점을 둔다.</t>
  </si>
  <si>
    <t>[9기가03-11]</t>
  </si>
  <si>
    <t>에너지와 관련된 문제를 발견하고 창의적인 해결방안을 탐색하여 실현하고 평가한다.</t>
  </si>
  <si>
    <t>[9기가03-12]</t>
  </si>
  <si>
    <t>다양한 수송 수단과 물류 체제를 이해하고 발달과정 및 특징과 혁신적인 활용 사례를 조사하여 수송 분야의 발달을 전망한다.</t>
  </si>
  <si>
    <t>이 성취기준은 현대 사회가 내연기관뿐 아니라 다양한 형태의 동력 발생 장치를 이용한 수송 수단을 활용하고 있으며, 자율주행 기술로 인해 물류가 자동화되면서 수송기술의 중요성이 더욱 강조되고 있으므로 육상, 해상, 항공우주 분야의 혁신적인 수송 장치와 물류 시스템을 이해하고 이를 활용하는 방안을 종합적으로 살펴봄으로써 미래 수송 분야의 발달을 예측할 수 있도록 하는데 주안점을 둔다.</t>
  </si>
  <si>
    <t>[9기가03-13]</t>
  </si>
  <si>
    <t>수송 수단 및 물류 체제와 관련된 문제를 이해하고 해결방안을 탐색하여 실현하고 평가한다.</t>
  </si>
  <si>
    <t>[9기가04-01]</t>
  </si>
  <si>
    <t>건설기술의 개념 및 발달과정, 건설 구조물의 종류와 특성을 이해하고, 건설 구조물의 혁신사례를 탐구함으로써 건설기술의 중요성을 인식한다.</t>
  </si>
  <si>
    <t>[9기가04-02]</t>
  </si>
  <si>
    <t>건설 구조물의 종류에 따른 계획, 설계, 시공, 유지관리 방법을 탐구하고 건설과정의 중요성을 이해하며 건설 구조물의 가치를 인식한다.</t>
  </si>
  <si>
    <t>[9기가04-03]</t>
  </si>
  <si>
    <t>사용자 요구 및 주어진 환경과 조건을 충족하는 지속가능한 건설 구조물의 모형을 설계⋅제작 및 평가한다.</t>
  </si>
  <si>
    <t>이 성취기준은 주어진 환경과 조건에 따른 건설 구조물의 종류와 형태, 설계 및 시공 방법의 이해를 바탕으로 건설 구조물의 설계와 시공 방법을 기술적 문제 해결 과정을 통해 학습하기 위해 설정하였다.</t>
  </si>
  <si>
    <t>[9기가04-04]</t>
  </si>
  <si>
    <t>전기⋅전자 부품의 종류와 기능을 이해하고 기능에 맞는 부품을 선택하여 문제를 해결하기 위한 간단한 회로를 구성하고 제작 및 평가한다.</t>
  </si>
  <si>
    <t>이 성취기준은 제어 및 자동화를 위해서는 전기⋅전자 부품을 이용한 회로 구성이 필수적인 요소이므로 주어진 문제를 해결할 수 있는 반도체를 포함한 전기⋅전자 부품들을 선택하고 이들의 회로 구성을 통해 액추에이터를 제어할 수 있는 학습이 되도록 하는 데 초점을 둔다.</t>
  </si>
  <si>
    <t>[9기가04-05]</t>
  </si>
  <si>
    <t>정보통신과 인공지능 기술의 활용 사례를 탐구하고, 정보통신과 인공지능 기술이 우리 삶에 미치는 영향을 다양한 관점에서 평가한다.</t>
  </si>
  <si>
    <t>이 성취기준은 현대 사회에서 정보통신 기술이 다른 기술 영역과 융합하여 기술적 문제 해결 능력을 기를 기회를 제공하기 때문에 설정한 것이다. 또한, 인공지능 기술 발달에 따른 사회 문화적 영향을 이해하고, 이와 관련된 윤리적인 이슈를 다양한 관점에서 바라볼 수 있도록 하는 데 초점을 둔다.</t>
  </si>
  <si>
    <t>[9기가04-06]</t>
  </si>
  <si>
    <t>정보통신과 인공지능 기술 관련 문제를 이해하고 해결 방안을 탐색, 실현, 평가함으로써 긍정적인 문제 해결 태도를 갖는다.</t>
  </si>
  <si>
    <t>이 성취기준은 빅데이터, 사물인터넷, 인공지능 기술을 비롯한 정보통신 관련 프로젝트 활동을 기반으로 관련 분야의 문제를 탐색하고 이를 해결할 수 있는 최적의 방안을 도출하며, 제품을 제작 및 평가, 피드백 하는 과정을 통해 정보통신과 인공지능 기술을 활용하는 역량을 키우는 데 초점을 둔다.</t>
  </si>
  <si>
    <t>[9기가04-07]</t>
  </si>
  <si>
    <t>기계의 구성 요소 및 동력 전달 장치의 종류와 특징을 이해하고, 작동 원리에 맞는 기계요소를 선택하여 평가한다.</t>
  </si>
  <si>
    <t>이 성취기준은 기계요소와 동력 전달 장치가 다양한 영역의 기술에 기초가 되므로 기계요소와 동력 전달장치의 종류와 특징을 이해하도록 설정하였다. 특히 다양한 체험활동을 통해 기계요소 및 동력 전달 장치의 종류와 특징을 이해하고, 자동화 및 로봇 등에 활용되는 기계요소와 동력 전달 장치를 바르게 선택하여 활용할 수 있는 역량을 신장할 수 있는 학습이 이루어지도록 한다.</t>
  </si>
  <si>
    <t>[9기가04-08]</t>
  </si>
  <si>
    <t>다양한 기계요소와 동력 전달 방법을 활용하여 주어진 문제를 해결할 수 있는 운동 물체를 안전하게 제작하고 평가한다.</t>
  </si>
  <si>
    <t>[9기가04-09]</t>
  </si>
  <si>
    <t>로봇에 활용되고 있는 제어 및 자동화 기술 등을 탐구하여 간단한 로봇을 제작하고 평가함으로써 창조에 대한 자신감을 갖는다.</t>
  </si>
  <si>
    <t>이 성취기준은 우리 생활 주변에는 다양한 형태의 로봇이 있으며, 로봇은 인간의 삶을 보다 편리하게 영위할 수 있도록 도와주므로 학습자가 기술적 체험을 통해 로봇에 대한 이해가 필요하기 때문에 설정하였다. 다양한 전기⋅전자 부품, 기계요소와 동력전달 장치 등을 활용하여 제한된 조건을 해결할 수 있는 간단한 로봇(자동화 장치)을 설계, 제작, 평가할 수 있는 문제 해결 기반 프로젝트 학습이 이루어지도록 한다.</t>
  </si>
  <si>
    <t>[9기가04-10]</t>
  </si>
  <si>
    <t>인간의 건강과 생명 연장을 위해 의료 분야에서 활용되는 생명기술 사례를 조사하고, 생명기술이 개인과 사회에 미친 영향을 평가한다.</t>
  </si>
  <si>
    <t>이 성취기준은 생명기술이 인간의 건강과 생명 연장을 위해 의공학의 발전과 신약 개발에 힘써왔다는 것에 대한 이해를 바탕으로 생명기술과 생명 윤리의 중요성을 인식할 수 있도록 설정한 것이다. 여기서는 생명기술의 발달과 생명기술 사례를 다양한 관점에서 탐구하며 그 영향에 대한 평가가 이루어질 수 있도록 한다.</t>
  </si>
  <si>
    <t>[9기가04-11]</t>
  </si>
  <si>
    <t>생명기술을 이해하며, 이와 관련된 문제의 해결 방안을 탐색, 실현, 평가하고, 생명 존중 및 윤리적 태도를 갖는다.</t>
  </si>
  <si>
    <t>[9기가04-12]</t>
  </si>
  <si>
    <t>기술적 문제에 대한 도전적 태도로 다양한 분야에 활용되고 있는 융합 기술의 사례를 탐구하고 미래의 기술 변화를 전망한다.</t>
  </si>
  <si>
    <t>[9기가04-13]</t>
  </si>
  <si>
    <t>긍정적이고 공감하는 문제 해결 태도를 바탕으로 지속가능한 발전과 혁신을 위해 융합 기술 문제를 해결하고 과정과 결과를 평가한다.</t>
  </si>
  <si>
    <t>이 성취기준은 우리 생활에 실제 이용되고 있는 기술 대부분은 다양한 지식이 융합되어 이용되며, 기술의 발전이 가속화됨에 따라 기술의 융합도 더욱 가속화되고 있음을 이해하고, 융합적 사고와 사용자 중심의 공감 및 긍정적 문제 해결 태도를 바탕으로 융합 프로젝트를 수행하도록 한다.</t>
  </si>
  <si>
    <t>[12기가01-01]</t>
  </si>
  <si>
    <t>지속되는 일상생활에서 가치 존중을 바탕으로 일상생활의 축적이 생활양식과 생활문화로 확장됨을 이해하고 새로운 생활문화를 제안한다.</t>
  </si>
  <si>
    <t>이 성취기준은 지속되는 일상 속 문화의 축적이 개인과 가족의 생활양식을 형성하고 이러한 생활양식이 사회와 공동체로 확대되어 생활문화로 이어짐을 이해하여 자신의 일상과 생활 문화와의 관계를 파악할 수 있도록 한다. 특히 무분별한 생활문화 답습에 대한 비판적 태도를 갖고 미래지향적 생활문화의 가치를 창조하는 방안을 탐색한다.</t>
  </si>
  <si>
    <t>[12기가01-02]</t>
  </si>
  <si>
    <t>생활문화에 대한 문화감수성을 바탕으로 한국 의식주 생활문화의 독창적 요소를 탐색하고, 다른 나라의 생활문화를 비교⋅분석한다.</t>
  </si>
  <si>
    <t>이 성취기준은 한국의 의식주 생활문화가 발전되어온 역사를 인식하여 독창성을 파악하고 다른 나라의 생활문화를 탐색하는 과정에서 다양한 생활문화를 수용하는 문화 감수성을 높일 수 있도록 한다.</t>
  </si>
  <si>
    <t>[12기가01-03]</t>
  </si>
  <si>
    <t>식생활문화에 반영된 미래 변화의 요소를 발견하고 이를 비판적으로 수용하여 식생활 문제를 개선하고 건강한 식생활 문화를 실천한다.</t>
  </si>
  <si>
    <t>이 성취기준에서 미래 식량으로서 다양한 식생활 유형(대체식품 활용, HMR(Home Meal Replacement), 저탄소 식생활 등)과 그 의미를 탐색한다. 또한, 푸드테크가 식품산업에 ICT기술과 AI 기반 식생활 관리와 접목되어 생산, 가공, 유통, 서비스까지 전 범위에 걸쳐 변화를 이끌며 식생활 문제와 관련된 건강, 위생, 안전의 문제에 깊이 관여하고 있다는 것을 인식할 수 있도록 한다. 더불어 미래 식량과 푸드테크의 장⋅단점을 분석하여 실생활에 적용할 수 있도록 한다.</t>
  </si>
  <si>
    <t>[12기가01-04]</t>
  </si>
  <si>
    <t>의생활문화에 반영된 미래 변화의 요소를 발견하고 이를 비판적으로 수용하여 삶의 질을 높이며 지속가능한 의생활 문화를 제안한다.</t>
  </si>
  <si>
    <t>이 성취기준은 의생활에 적용되어 삶의 질을 높일 수 있는 다양한 지능형 의류의 유형들을 탐색한다. 또한 메타 패션은 디지털 기술을 이용해 이미지나 동영상으로 제작한 디지털 패션 산업을 뜻하며 지속가능한 의생활문화로 개선될 수 있는 방안을 제안하도록 한다.</t>
  </si>
  <si>
    <t>[12기가01-05]</t>
  </si>
  <si>
    <t>주생활문화에 반영된 미래 변화의 요소를 발견하고 이를 비판적으로 수용하여 안전한 주생활 문화를 영위하는 방안을 제안한다.</t>
  </si>
  <si>
    <t>이 성취기준은 디지털 환경이 확대됨에 따라 주생활에 적용된 다양한 기술(유비쿼터스 주거, 주거와 사물인터넷 등)들을 탐색하고 장⋅단점을 분석하여 안전한 주생활 문화와 관련된 인식을 높일 수 있도록 지도한다.</t>
  </si>
  <si>
    <t>[12기가02-01]</t>
  </si>
  <si>
    <t>저출생⋅고령사회에서 생활 설계의 필요성을 인식하고, 전 생애에 걸친 안정적인 삶을 준비하기 위한 생활을 설계한다.</t>
  </si>
  <si>
    <t>이 성취기준은 저출생⋅고령사회의 생활을 예측해보고, 생애주기적 관점과 가족생활주기 관점에 따라 건강, 가족 관계, 자녀 교육, 경제 등의 생활 설계 요소를 고려하여 균형 있는 생활을 설계하도록 한다.</t>
  </si>
  <si>
    <t>[12기가02-02]</t>
  </si>
  <si>
    <t>경제적 자립의 태도를 갖추기 위해 개인과 가족의 상황에 맞는 가계 재무 설계의 필요성을 이해하고, 가정경제 관리 방안을 계획한다.</t>
  </si>
  <si>
    <t>이 성취기준은 경제적 자립을 위한 목표를 설정하고 자산이 가지는 의미를 파악하여 이를 형성할 수 있는 다양한 방법을 비판적으로 분석하도록 한다. 개인과 가족의 전 생애에 걸친 수입과 지출의 균형을 고려하여 가계 재무를 설계하고 평가한다.</t>
  </si>
  <si>
    <t>[12기가02-03]</t>
  </si>
  <si>
    <t>소비자의 안전을 위협하는 다양한 문제를 비판적으로 성찰하여 소비자 시민성을 반영한 소비생활을 실천한다.</t>
  </si>
  <si>
    <t>이 성취기준은 학생이 경험하는 생활환경(가족, 학교, 지역사회 등) 전반에서 소비로 인해 발생할 수 있는 안전 문제를 파악하도록 한다. 또한 소비자의 역할이 책임과 권리에만 집중되지 않고 공공의 선을 위한 참여 및 실천 의식을 가질 수 있도록 소비자 시민성을 함양한다.</t>
  </si>
  <si>
    <t>[12기가02-04]</t>
  </si>
  <si>
    <t>생활복지서비스와 일상생활에서 생성되는 빅데이터 적용의 의미를 파악하고 이를 활용하여 생활에 적용할 수 있는 새로운 복지 방안을 제안한다.</t>
  </si>
  <si>
    <t>이 성취기준은 빅데이터가 생활과 복지 분야에 활용되는 현황을 파악하고 이를 활용하여 새로운 복지에 관한 아이디어를 창출하도록 한다.</t>
  </si>
  <si>
    <t>[12기가02-05]</t>
  </si>
  <si>
    <t>개인 및 가족의 생애 주기에 따른 맞춤형 스마트 복지 현황을 파악하고 자신이 설정한 삶의 목표 실현에 적용할 수 있는 복지서비스 정책을 제안한다.</t>
  </si>
  <si>
    <t>이 성취기준은 빅데이터(워드클라우드 등의 도구)를 활용하여 복지 사각지대를 파악하고 개인과 가족이 전 생애에 걸쳐 활용할 수 있는 시민 참여형 복지 정책을 제안한다.</t>
  </si>
  <si>
    <t>[12기가03-01]</t>
  </si>
  <si>
    <t>성년기의 성과 사랑에 관하여 탐구하고, 성인으로서의 독립과 자신과 타인을 보호하는 건강한 관계 맺기의 의미를 추론한다.</t>
  </si>
  <si>
    <t>이 성취기준은 성년기 발달과업인 성인으로서의 독립과 새로운 가족의 형성을 이해하기 위하여 자아에 대한 이해 및 성숙, 독립된 타인에 대한 존중이 바탕이 되는 성과 사랑에 대하여 이론적인 탐색을 바탕으로 다양한 관점에서 성찰하도록 한다. 또한, 성년기 타인과의 건강한 관계가 가지는 중요성과 가치를 이해하고 자신과 타인의 주체성과 독립성을 인정하는 관계 맺기를 통해 자신과 타인을 보호할 수 있음을 인식하도록 하고, 특히 디지털 상에서의 관계 맺기에서도 사이버 공간에서의 폭력이 발생하지 않도록 서로 간의 존중과 보호가 전제되어야 하는 사실을 알게 한다.</t>
  </si>
  <si>
    <t>[12기가03-02]</t>
  </si>
  <si>
    <t>부모됨의 의미를 성찰하고 건강한 임신과 출산의 방안을 탐색하여 책임 있는 부모가 되기 위해 필요한 역량을 탐색한다.</t>
  </si>
  <si>
    <t>이 성취기준은 부모됨의 의미와 관련하여 우리 사회의 고정 관념에 대한 배경과 맥락을 이해하고 남녀 공동의 주체적인 선택에 따른 건강한 임신과 출산의 방안을 탐색하여 부부가 함께 준비하는 책임 있는 부모에게 필요한 역량을 탐색한다.</t>
  </si>
  <si>
    <t>[12기가03-03]</t>
  </si>
  <si>
    <t>가족 내 소통과 협력의 태도를 기르기 위하여 중년기와 청소년기의 발달 특성을 인식하고 차이와 공통점을 탐구하여 자신과 가족의 생활에 적용한다.</t>
  </si>
  <si>
    <t>이 성취기준은 중년기의 신체적, 인지적, 사회⋅정서적 발달 특성을 인식하여 중년기가 생의 절정이기도 하지만 위기의 시기일 수도 있음을 이해하도록 하며, 질풍노도와도 같은 청소년기에 반영된 자신의 발달상의 특성과 비교하며 자신과 부모에 대한 이해를 높여 가족 관계의 향상을 도모한다.</t>
  </si>
  <si>
    <t>[12기가03-04]</t>
  </si>
  <si>
    <t>후반기 인생 설계의 중요성과 웰다잉의 의미 탐색을 위하여 노년기의 발달 특성을 이해하며 노년기 삶의 존중 및 나이듦에 대한 긍정적 인식을 함양하고, 유니버설디자인의 배경과 맥락을 파악하여 노년기 생활에 적용할 수 있는 방안을 탐구한다.</t>
  </si>
  <si>
    <t>이 성취기준은 인간의 평균 수명 연장으로 개인이 경험하는 노년기의 의미가 매우 중요해졌음을 인식하고 노년기 발달 특성을 탐색하여 세대 간 이해를 높인다. 후반기 인생 설계에 대한 기초 개념을 가질 수 있도록 하여 웰다잉(well dying)의 의미를 탐색하도록 한다. 또한, 유니버설 디자인과 디지털 기기 및 서비스 이용을 통해 노년기의 생활자립과 생활의 질을 향상시키는 요소를 분석한다.</t>
  </si>
  <si>
    <t>[12기가03-05]</t>
  </si>
  <si>
    <t>가족생활에서 발생하는 다양한 위기의 회복과 치유 방안을 탐색하고 회복탄력성을 발휘하여 성장하는 방안을 추론한다.</t>
  </si>
  <si>
    <t>이 성취기준은 가족생활에서 발생하는 다양한 위기(가족의 관계 단절, 가족 해체, 상실, 신체적⋅정신적 질병, 경제적 위기 등)를 부정적으로 받아들이기보다는 회복탄력성 발휘를 통하여 회복과 치유의 과정에서 더 성장하는 기회로 삼을 수 있도록 하는 방안을 찾도록 한다.</t>
  </si>
  <si>
    <t>[12기가04-01]</t>
  </si>
  <si>
    <t>공학이 발달해 온 역사와 공학의 세계를 탐구하는 과정에서 공학의 가치를 인식하고, 미래 사회를 예측한다.</t>
  </si>
  <si>
    <t>이 성취기준은 인류 문명과 더불어 공학이 발달해온 과정과 공학의 발달이 사회, 문화, 역사 등의 변화에 미친 영향을 이해하는 과정에서 공학의 중요성과 가치를 인식하고, 미래의 공학을 예측하는 활동을 통해 공학 연구와 실천의 가치관 함양에 초점을 둔다.</t>
  </si>
  <si>
    <t>[12기가04-02]</t>
  </si>
  <si>
    <t>공학의 개념을 정의하고 공학의 설계 과정을 이해하며, 공학의 혁신 사례를 조사하여 공학의 가치를 인식한다.</t>
  </si>
  <si>
    <t>이 성취기준은 공학의 특징을 바탕으로 사용자 요구 확인-공학적 문제 정의-아이디어 창출-최적의 아이디어 평가 – 구체적 계획 및 설계 - 실행 - 평가로 이루어지는 공학적 문제해결 과정 절차를 이해하며, 공학의 혁신 사례를 통해 공학이 우리 삶에 미친 영향을 분석한다.</t>
  </si>
  <si>
    <t>[12기가04-03]</t>
  </si>
  <si>
    <t>기술, 수학, 과학, 예술 등과 융합하여 공학이 발전된 사례를 분석하여 공학의 융합적 특성과 중요성을 이해한다.</t>
  </si>
  <si>
    <t>이 성취기준은 공학이 기술, 수학, 과학, 예술 등 다양한 영역의 지식과 융합하여 생활 속 공학적 문제를 해결하며 발전해왔다는 것을 인식하는 데 초점을 둠으로써 실생활의 문제를 해결 과정에서 공학의 융합적 특성이 중요함을 강조한다.</t>
  </si>
  <si>
    <t>[12기가04-04]</t>
  </si>
  <si>
    <t>공학적 문제해결 사례를 통해 창의성, 팀워크, 의사소통 역량과 같은 공학적 소양의 중요성과 필요성을 인식한다.</t>
  </si>
  <si>
    <t>이 성취기준은 공학자가 공학적 문제를 해결하기 위해 창의성, 팀워크, 리더십, 효율적인 의사소통 능력이 중요하다는 것을 강조하기 위한 것으로, 구체적인 공학 문제해결 사례 분석을 통해 공학적 소양의 필요성과 중요성을 이해하도록 하는데 초점을 둔다.</t>
  </si>
  <si>
    <t>[12기가04-05]</t>
  </si>
  <si>
    <t>다양한 공학 분야를 탐색하여 공학자의 역할을 이해하고, 자신의 흥미, 적성, 능력에 맞는 공학 분야의 진로를 탐색한다.</t>
  </si>
  <si>
    <t>[12기가05-01]</t>
  </si>
  <si>
    <t>공학적 문제를 해결하기 위한 아이디어 시각화 과정에서 제도의 기본 규칙에 대한 이해를 바탕으로 컴퓨터를 이용한 디지털 기반의 설계를 적용하며, 아이디어 시각화를 통한 의사소통의 중요성을 인식한다.</t>
  </si>
  <si>
    <t>이 성취기준은 공학적 문제를 해결하는 과정에서 아이디어 시각화를 통한 의사소통의 중요성 이해에 초점이 있다. 특히, 디지털 기반 설계에서도 학생들이 아이디어를 창출하는 과정에서 이루어지는 기본적인 스케치 방법과 제도의 기본적인 통칙(KS)을 학습할 수 있도록 하며, 최종적으로 디지털 기반의 설계를 통해 아이디어가 2D 혹은 3D로 구현되는 체험을 할 수 있도록 한다.</t>
  </si>
  <si>
    <t>[12기가05-02]</t>
  </si>
  <si>
    <t>디지털 기반 설계 및 제조 과정을 이용해 공학적 문제를 해결할 수 있는 제품을 제작하고 산출물을 평가하는 과정에서 공학에 대한 도전적 태도를 기른다.</t>
  </si>
  <si>
    <t>[12기가05-03]</t>
  </si>
  <si>
    <t>로봇의 구성 및 활용 사례를 바탕으로, 자동화를 위한 제어 장치의 활용 방법을 탐구하고 로봇을 제작하여 인공 세계와 공학 제품에 대한 호기심을 갖는다.</t>
  </si>
  <si>
    <t>이 성취기준은 로봇이 다양한 하드웨어와 소프트웨어로 구성되어 있다는 이해를 바탕으로 실생활에 활용되고 있는 사례를 조사하여 로봇이 우리 생활에 미치는 영향을 이해할 수 있도록 설정한 것이다. 여기서는 센서-마이크로 컨트롤러-액추에이터로 구성된 로봇을 제작함으로써 공학적 문제해결에 필요한 반복적인 성찰과 도전적 자세를 신장할 수 있도록 한다.</t>
  </si>
  <si>
    <t>[12기가05-04]</t>
  </si>
  <si>
    <t>친환경 에너지의 종류와 원리, 활용 사례를 탐구하며, 에너지 전환과 관련된 공학적 문제를 해결하는 과정에서 창의적 자신감과 태도를 갖는다.</t>
  </si>
  <si>
    <t>이 성취기준은 인류의 지속가능한 발전을 위한 친환경 에너지의 종류와 원리를 이해하고, 전력, 난방, 운송 등 다양한 분야에 대한 에너지 전환의 중요성을 공감하는 것에 초점이 있다. 특히, 친환경 에너지, 스마트 그리드 등의 에너지 관련 공학적 문제를 해결하는 과정에서 창의적 태도와 문제해결에 대한 자신감이 신장되도록 체험 중심 활동이 이루어질 수 있도록 한다.</t>
  </si>
  <si>
    <t>[12기가05-05]</t>
  </si>
  <si>
    <t>첨단 수송수단 및 항공우주 분야에 사용되는 공학적 지식을 분석하고, 발달 현황 및 미래의 방안을 토의하고 발표하며, 첨단 수송수단 및 항공우주와 관련된 공학 문제를 창의적으로 해결한다.</t>
  </si>
  <si>
    <t>이 성취기준은 자율주행(운항)으로 대표되는 수송기술인 모빌리티와 항공우주 분야의 공학적 원리를 이해하고, 발전 방향을 예측하여 첨단 수송기술 분야의 공학적 발전을 파악하는 것에 초점이 있다. 특히, 모빌리티, 항공우주와 관련된 공학적 문제를 해결하는 과정에서 창의적 태도와 문제해결에 대한 자신감을 갖도록 한다.</t>
  </si>
  <si>
    <t>[12기가06-01]</t>
  </si>
  <si>
    <t>빅데이터, 사물인터넷, 인공지능 등 최신 기술을 통해 정보통신 공학을 이해하고, 정보통신 공학의 활용 사례를 탐구하여 정보통신 기술을 윤리적으로 활용하는 태도를 갖는다.</t>
  </si>
  <si>
    <t>이 성취기준은 정보통신과 관련된 공학적 문제를 해결하기 위하여 초연결사회를 대표하는 빅데이터, 사물인터넷, 인공지능 등의 기술 원리와 활용을 이해하며, 공학적 문제해결 과정을 통하여 그 해결방안을 선정하고 산출물을 제작하는 과정에서 공학적 문제해결의 중요성을 인식할 수 있도록 설정하였다.</t>
  </si>
  <si>
    <t>[12기가06-02]</t>
  </si>
  <si>
    <t>초연결사회와 정보통신 관련 공학 문제를 공학적 문제해결 과정을 통해 해결하고, 산출물 평가를 통해 공학적 의사소통의 중요성을 인식한다.</t>
  </si>
  <si>
    <t>[12기가06-03]</t>
  </si>
  <si>
    <t>스마트 도시 건설에 필요한 핵심 기술과 동향을 파악하며, 관련한 건설공학 문제를 창의적으로 해결하고 그 과정과 산출물을 평가한다.</t>
  </si>
  <si>
    <t>[12기가06-04]</t>
  </si>
  <si>
    <t>생명공학이 인류의 식량자원 확보, 온실가스 배출감소, 생명 연장, 의공학의 발전에 기여할 수 있는 방안을 탐구하고, 생명공학과 관련된 문제를 창의적으로 해결하는 과정에서 공학의 가치를 인식한다.</t>
  </si>
  <si>
    <t>이 성취기준은 생명공학이 인류의 식량 자원 확보, 생명 연장, 친환경 에너지 자원 개발을 위하여 농업, 의료, 에너지 분야에 다양하게 활용되고 있으며, 다양한 분야의 지식과 융합하여 발전하고 있다는 것을 이해하는 데 초점이 있다. 또한 생명공학으로 인해 발생되는 문제점과 윤리적 고려 사항을 학습하여 생명공학이 우리 삶에 미치는 영향을 균형 있게 살필 수 있도록 한다.</t>
  </si>
  <si>
    <t>[12기가06-05]</t>
  </si>
  <si>
    <t>다양한 지식과 융합된 공학의 세계를 탐구하고 융합 공학 문제를 해결하며, 그 과정에서 공학에 대한 긍정적 태도와 공학 윤리 실천의 중요성을 인식한다.</t>
  </si>
  <si>
    <t>이 성취기준은 다양한 영역의 지식을 융합하여 공학적 문제를 해결한 융합공학 사례를 탐색하는 과정에서 공학에 대한 긍정적 태도를 가지고 공학 윤리 실천의 중요성을 인식하도록 설정하였다.</t>
  </si>
  <si>
    <t>[12로봇01-01]</t>
  </si>
  <si>
    <t>로봇의 공학적 특성과 구성을 이해하고, 융합공학으로서의 로봇을 탐구하여 로봇에 대한 가치를 인식한다.</t>
  </si>
  <si>
    <t>[12로봇01-02]</t>
  </si>
  <si>
    <t>로봇 하드웨어와 소프트웨어의 탐구를 통해 로봇의 작동 원리를 이해하고 간단한 로봇을 제작하여 로봇에 대한 흥미와 자신감 및 도전 의식을 갖는다.</t>
  </si>
  <si>
    <t>이 성취기준은 로봇을 구성하는 하드웨어와 인공지능 기술을 포함하는 소프트웨어의 기초 원리를 이해하고 하드웨어와 소프트웨어를 결합하여 간단한 로봇을 만들어 볼 수 있도록 하는 데 중점을 둔다. 특히 전기⋅전자⋅기계요소를 포함하는 마이크로 컨트롤러를 활용한 하드웨어 구성과 코딩프로그램을 포함하는 소프트웨어를 활용한 제어 알고리즘을 해석하여 로봇의 동작 원리를 이해하고 로봇 프로젝트를 위한 기본적인 능력을 기르도록 한다.</t>
  </si>
  <si>
    <t>[12로봇01-03]</t>
  </si>
  <si>
    <t>로봇의 활용 분야를 이해하고 생활 속 다양한 로봇 활용 분야를 탐구하여 로봇 개발과 활용에 대한 긍정적인 사고를 함양한다.</t>
  </si>
  <si>
    <t>이 성취기준은 산업용, 의료용, 교육용, 서비스용, 재난구호용 등 일상에서 활용되는 생활 속의 로봇을 중심으로 조사하고 탐색하여 로봇 개발과 활용에 대한 창의적인 사고를 기르도록 한다.</t>
  </si>
  <si>
    <t>[12로봇01-04]</t>
  </si>
  <si>
    <t>인공지능 기술을 활용한 로봇의 특징과 문제점을 조사⋅분석하고 이를 통해 로봇 개발 및 활용에 대한 바람직한 윤리의식을 함양한다.</t>
  </si>
  <si>
    <t>이 성취기준은 인공지능 기술에 대하여 이해하고 이를 접목한 로봇의 활용에 따른 장⋅단점을 분석하여 미래 로봇 개발과 활용에 대한 바람직한 윤리의식을 함양하는데 초점이 있다.</t>
  </si>
  <si>
    <t>[12로봇02-01]</t>
  </si>
  <si>
    <t>제조 분야 공학의 개념과 특징을 이해하고 관련 진로를 탐색하며, 관련 분야의 로봇 활용의 가치를 인식한다.</t>
  </si>
  <si>
    <t>~ 이 성취기준은 제조 분야 공학(기계, 정밀기계, 기계설계, 신소재, 생산기계, 메카트로닉스 공학과 등), 건설 분야 공학(건축, 토목, 건설공학과 등), 생명⋅환경 분야 공학(바이오, 생명, 환경공학과 등), 에너지⋅수송 분야 공학(신재생에너지, 자동차, 우주항공학과 등), 정보통신 및 인공지능 기술 분야 공학(전기, 전자, 정보통신, 컴퓨터 공학과 등) 등에서 공학에 대한 개념과 특징을 이해하고 관련 진로를 탐색하며, 관련 분야에서 활용되는 로봇의 종류와 기능을 조사⋅탐구하여 해당 분야의 문제를 해결하기 위한 공학적 원리를 찾아 발표하여 로봇 활용에 대한 가치와 태도를 함양하도록 설정하였다.</t>
  </si>
  <si>
    <t>[12로봇02-02]</t>
  </si>
  <si>
    <t>건설 분야 공학의 개념과 특징을 이해하고 관련 진로를 탐색하며, 관련 분야의 로봇 활용의 가치를 인식한다.</t>
  </si>
  <si>
    <t>[12로봇02-03]</t>
  </si>
  <si>
    <t>생명 및 환경 분야 공학의 개념과 특징을 이해하고 관련 진로를 탐색하며, 관련 분야의 로봇 활용의 가치를 인식한다.</t>
  </si>
  <si>
    <t>[12로봇02-04]</t>
  </si>
  <si>
    <t>에너지 및 수송 분야 공학의 개념과 특징을 이해하고 관련 진로를 탐색하며, 관련 분야의 로봇 활용의 가치를 인식한다.</t>
  </si>
  <si>
    <t>[12로봇02-05]</t>
  </si>
  <si>
    <t>정보통신 및 인공지능 기술 분야 공학의 개념과 특징을 이해하고 관련 진로를 탐색하며, 관련 분야의 로봇 활용의 가치를 인식한다.</t>
  </si>
  <si>
    <t>[12로봇02-06]</t>
  </si>
  <si>
    <t>기타 공학 분야의 개념과 특징을 이해하고 해당 분야에서 활용되는 로봇을 탐색하여 로봇 및 공학과 관련된 직업에 대한 흥미와 관심을 높인다.</t>
  </si>
  <si>
    <t>[12로봇02-07]</t>
  </si>
  <si>
    <t>공학의 각 분야에서 활용되는 로봇의 발전 방향을 조사⋅탐구하고, 로봇의 개발과 활용에 대한 바람직한 윤리의식을 기른다.</t>
  </si>
  <si>
    <t>이 성취기준은 미래의 공학 기술(반도체, 자율 주행 자동차, 드론, 우주탐사용 로봇, 심해저 탐사 로봇, 건설용 로봇, 구조 로봇 등) 및 로봇 기술을 이해하고, 미래 공학 및 로봇 활용에 대한 바람직한 윤리 의식을 함양하도록 설정하였다.</t>
  </si>
  <si>
    <t>[12로봇03-01]</t>
  </si>
  <si>
    <t>로봇공학 프로젝트 수행을 위하여 사용자 공감하기를 바탕으로 로봇공학 문제를 확인하고 정의한다.</t>
  </si>
  <si>
    <t>이 성취기준은 로봇공학 프로젝트 수행을 위하여 디자인 씽킹 과정에 따라 사용자의 요구 및 공감을 바탕으로 로봇공학 문제를 정의하고 아이디어를 탐색하도록 설정하였다.</t>
  </si>
  <si>
    <t>[12로봇03-02]</t>
  </si>
  <si>
    <t>로봇공학 프로젝트 수행 과정에서 로봇을 구성하는 하드웨어 및 관련 부품을 제어하는 소프트웨어의 특성을 이해하고, 정보를 수집하고 탐색한다.</t>
  </si>
  <si>
    <t>[12로봇03-03]</t>
  </si>
  <si>
    <t>로봇공학 프로젝트 수행을 위하여 로봇 제어의 원리를 이해하고, 관련 문제해결을 위한 소프트웨어 알고리즘을 구상한다.</t>
  </si>
  <si>
    <t>이 성취기준은 로봇 프로젝트에서 활용되는 전자 부품 및 센서에 대한 종류와 특징, 전기⋅전자회로의 구성, 액추에이터에 대한 전체적인 메카니즘을 이해하고 프로그램과 마이크로 컨트롤러를 활용하여 알고리즘을 작성해 볼 수 있도록 설정하였다.</t>
  </si>
  <si>
    <t>[12로봇03-04]</t>
  </si>
  <si>
    <t>로봇공학 프로젝트 문제해결을 위한 대안 선정, 제작, 작동을 체험하며, 이를 통해 로봇 제작에 대한 흥미와 협력적 태도를 갖는다.</t>
  </si>
  <si>
    <t>[12로봇03-05]</t>
  </si>
  <si>
    <t>로봇공학 프로젝트 수행 과정과 결과에 대한 평가 및 개선을 통해 창의적 자신감 및 의사소통 능력을 기른다.</t>
  </si>
  <si>
    <t>이 성취기준은 모둠별로 제작된 로봇의 문제해결 과정을 동료들과 공유하고 제작과정과 결과를 근거로 성장 중심 평가를 실시하여 로봇공학 문제에 대한 도전 의식을 갖도록 하는 데 초점을 둔다.</t>
  </si>
  <si>
    <t>[12로봇03-06]</t>
  </si>
  <si>
    <t>제작한 로봇을 시연 및 공유하며 로봇의 활용 분야를 제안하여 로봇에 대한 긍정적 사고와 문제해결에 대한 자신감을 갖는다.</t>
  </si>
  <si>
    <t>[12생활01-01]</t>
  </si>
  <si>
    <t>인간의 특성에 대한 긍정적 태도를 바탕으로 인간 발달에 대한 이론과 발달의 특성을 탐구한다.</t>
  </si>
  <si>
    <t>이 성취기준은 인간 발달 이론을 통해 인간의 전 생애에 걸친 생활주기에서 나타나는 신체적, 정신적, 사회적, 경험적 변화를 이해하며, 발달의 원리를 알고 인간 발달의 특성을 탐구하도록 한다.</t>
  </si>
  <si>
    <t>[12생활01-02]</t>
  </si>
  <si>
    <t>아동기까지의 삶의 질이 전 생애에 끼치는 장기적이며 결정적인 영향을 이해하여 아동상담의 필요성과 사례를 탐구하여, 관련 분야로의 진로를 탐색한다.</t>
  </si>
  <si>
    <t>[12생활01-03]</t>
  </si>
  <si>
    <t>사회변화에 따라 파생된 가족생활교육 및 가족생활 복지서비스의 필요성을 이해하고, 새로운 정책을 탐구하며, 관련된 분야로의 진로를 탐색한다.</t>
  </si>
  <si>
    <t>[12생활01-04]</t>
  </si>
  <si>
    <t>소비문화를 선도하는 소비자가 되기 위해 현대 소비문화의 이해를 바탕으로 미래 소비 동향을 예측하여 소비 트렌드를 분석하고 제안한다.</t>
  </si>
  <si>
    <t>이 성취기준은 현대 소비문화의 변화를 이해하고 주체적인 소비자가 되어 소비문화를 이끌어 갈 수 있도록 빅데이터를 활용하여 소비트렌드를 분석하고 소비 동향을 예측하도록 한다.</t>
  </si>
  <si>
    <t>[12생활01-05]</t>
  </si>
  <si>
    <t>소비자 심리를 이해하여 소비 행동을 예측해보며, 소비와 관련한 직업의 세계를 탐색하고 진로를 설계한다.</t>
  </si>
  <si>
    <t>이 성취기준은 소비와 관련된 인간의 사고 과정과 행동을 이해하고 소비활동이 어떻게 인간에게 영향을 주는지 파악하도록 한다. 이러한 과정에서 소비와 관련한 다양한 직업을 탐색해 보도록 한다.</t>
  </si>
  <si>
    <t>[12생활02-01]</t>
  </si>
  <si>
    <t>생활습관병의 원인을 분석하고, 올바른 관리법을 익혀 건강한 삶을 위한 실천 방안을 탐색하고 관련 분야로의 진로를 탐색한다.</t>
  </si>
  <si>
    <t>[12생활02-02]</t>
  </si>
  <si>
    <t>식품 가공의 원리를 이해하고 올바른 정보 분별 능력을 길러 가공식품을 건강하고 안전하게 이용하는 방안을 탐색하며, 관련된 분야의 진로를 탐색한다.</t>
  </si>
  <si>
    <t>이 성취기준은 산업의 발전에 따라 가공식품이 발달하면서 식품 가공에 사용하는 식품 원료의 특성과 식품의 가공⋅조리⋅저장⋅부패 등 식품 이용 과정의 과학적 원리를 이해하고 식생활에 적용할 수 있는 능력을 기를 수 있도록 하며, 식생활과 관련된 다양한 산업에서 진로를 탐색할 수 있다.</t>
  </si>
  <si>
    <t>[12생활02-03]</t>
  </si>
  <si>
    <t>올바른 식재료를 선택하고 조리 과정 중에 일어나는 성분 등의 변화를 이해하여 과학적 원리를 적용한 음식을 만든다.</t>
  </si>
  <si>
    <t>[12생활02-04]</t>
  </si>
  <si>
    <t>패션디자인의 기본 개념과 유행하는 스타일을 파악하여 패션 산업의 동향을 탐색하며, 관련된 분야의 진로를 탐색한다.</t>
  </si>
  <si>
    <t>이 성취기준은 뉴미디어, 인공지능 등을 포함한 디지털 기술의 발달로 인한 패션산업의 변화를 이해하고, 패션 상품의 기획, 생산, 구매, 관리, 사용, 폐기와 관련된 다양한 직업을 탐색하도록 한다.</t>
  </si>
  <si>
    <t>[12생활02-05]</t>
  </si>
  <si>
    <t>패션디자인과 머천다이징에 대한 이해를 바탕으로 패션상품을 기획하고 디자인을 하며 하나의 브랜드를 기획한다.</t>
  </si>
  <si>
    <t>[12생활02-06]</t>
  </si>
  <si>
    <t>정치⋅경제, 사회⋅문화의 변화에 따른 주거 트렌드를 탐구하고 인간다운 주거환경을 실현할 수 있는 주거복지 정책을 제안한다.</t>
  </si>
  <si>
    <t>이 성취기준은 집은 팔기(buying)위한 것이 아니라 살기(living)위한 공간임을 이해하고, 재산 가치로서의 환금성으로만이 아니라 주거의 본질적인 의미에 대한 고민을 하도록 한다. 특히, 주거 취약 계층에 대한 주거 문제를 인식하고 이를 해결하기 위한 주거복지정책을 제안한다.</t>
  </si>
  <si>
    <t>[12생활02-07]</t>
  </si>
  <si>
    <t>주거공간을 구성하고 있는 요소와 원리를 이해하여 라이프 스타일에 적합한 생활 공간을 기획하며, 관련된 분야의 진로를 탐색한다.</t>
  </si>
  <si>
    <t>[12생활03-01]</t>
  </si>
  <si>
    <t>생활과학 분야와 관련된 사회적 변화와 산업 추세를 분석하여 생할과학 분야의 다양한 진로를 탐색하고 요구하는 능력을 길러 체계적으로 진로를 설계한다.</t>
  </si>
  <si>
    <t>이 성취기준은 디지털 및 AI 중심의 사회적 변화에 따라 나타나는 인간의 삶과 의식주 생활 및 소비생활의 변화를 인식하여 변화된 요구를 분석하며, 관련된 생활과학 분야(의, 식, 주, 아동, 가족, 소비계열 등)의 접근을 사고하도록 하여 흥미를 가지고 생활과학 및 생활과학 관련의 여러 분야(심리상담 및 복지 분야, 보건 및 간호⋅의료계열 분야 등)의 진로를 탐색할 수 있도록 한다.</t>
  </si>
  <si>
    <t>[12생활03-02]</t>
  </si>
  <si>
    <t>현재와 미래의 인간 삶의 기본이 되는 의식주 및 소비생활에 관련된 요구를 분석하여 체인지 메이커의 역할을 수행하며 창업의 아이디어를 제안한다.</t>
  </si>
  <si>
    <t>이 성취기준은 변화를 이끄는 사람으로서 역할을 수행하기 위해 주체적인 태도로 현재와 미래의 인간 삶의 기본이 되는 의식주 생활 및 소비생활과 관련된 요구를 분석하여 이를 반영한 생활과학 관련의 창업 아이디어를 제안하도록 한다. 취미나 관심 분야와 창의적인 아이디어를 결합하여 새로운 아이디어 제품을 제안할 수도 있고, 일상생활의 문제점을 해결하는 아이디어를 제안할 수도 있다. 이러한 활동으로 도전정신과 주체적인 삶의 태도를 기를 수 있도록 한다.</t>
  </si>
  <si>
    <t>[12창공01-01]</t>
  </si>
  <si>
    <t>공학의 의미와 특성을 이해하고, 공학적 산출물에 대한 가치를 인식한다.</t>
  </si>
  <si>
    <t>[12창공01-02]</t>
  </si>
  <si>
    <t>공학의 발달이 인류 문명에 미친 영향을 파악하고, 인류가 공존할 수 있는 지속가능한 미래공학을 전망한다.</t>
  </si>
  <si>
    <t>[12창공01-03]</t>
  </si>
  <si>
    <t>창의 공학 설계를 통한 문제해결 과정을 이해하고, 창의적인 해결방안에 대한 가치를 인식한다.</t>
  </si>
  <si>
    <t>[12창공01-04]</t>
  </si>
  <si>
    <t>공학에서의 창의성 개념을 이해하고, 창의적 사고 기법과 창의 공학 설계 사례를 탐구하여 창의 공학 설계에 대한 흥미와 관심을 가진다.</t>
  </si>
  <si>
    <t>이 성취기준은 다양한 분야에서 창의 공학 설계를 통하여 문제를 해결한 사례를 찾아 탐구하여 창의 공학 설계의 중요성을 인식하기 위해 설정하였다. 아울러 창의적 사고 기법을 적용하는 과정에서 기능적인 학습이 아닌 창의성의 증진에 초점을 둔다.</t>
  </si>
  <si>
    <t>[12창공01-05]</t>
  </si>
  <si>
    <t>창의 공학 설계 과정에서의 팀워크와 의사소통의 중요성을 인식하고, 팀워크와 의사소통의 기본 역량을 탐구하고 팀 구성원으로서의 협력적 태도를 가진다.</t>
  </si>
  <si>
    <t>[12창공01-06]</t>
  </si>
  <si>
    <t>창의 공학 설계를 통한 다양한 산출물을 비교, 분석하여 올바른 제품의 개발 방법에 대해 탐구한다.</t>
  </si>
  <si>
    <t>이 성취기준은 창의 공학 설계 과정이 적용된 기존의 산출물을 비교 분석하여 특징 및 장단점을 분석하여 창의 공학 설계의 필요성을 인식하기 위하여 설정한 것이다. 또한 제품을 개발하는 과정에서 중요하게 고려해야 할 요소를 비교⋅분석하기 위한 일정한 기준을 개발하여 적용할 수 있도록 하는 데 초점을 둔다.</t>
  </si>
  <si>
    <t>[12창공02-01]</t>
  </si>
  <si>
    <t>공학적 문제해결에 필요한 팀 구성 방법과 구성원 간의 바람직한 협업 및 역할을 이해하고 공학적 문제해결 상황에 적합한 팀을 구성한다.</t>
  </si>
  <si>
    <t>[12창공02-02]</t>
  </si>
  <si>
    <t>창의 공학 설계 프로젝트를 통해 융합적인 성격의 공학 문제 상황을 탐구하고 해결하는 과정에서 창의 공학 설계의 융합적 특성을 이해하며, 창의성과 자신감, 공학에 대한 긍정적인 태도와 가치를 가진다.</t>
  </si>
  <si>
    <t>이 성취기준은 생활 속의 공학적 문제를 해결하기 위하여 적용된 창의 공학 설계의 사례와 그 결과에 대해 탐구하고 평가하여 과정의 중요성을 인식하며, 융합적 문제 또는 지속가능한 발전의 문제를 다루어 창의적이고 융합적 사고를 활용한 공학적 활동이 다방면에서 흥미롭게 활용될 수 있도록 유도한다.</t>
  </si>
  <si>
    <t>[12창공02-03]</t>
  </si>
  <si>
    <t>공학적 문제의 정의를 위해 사용자의 조사, 관찰, 체험 등의 사용자 공감 방법을 적용하여 사용자 요구 분석을 통해 문제를 정의한다.</t>
  </si>
  <si>
    <t>이 성취기준은 공학적 문제 정의 과정에서는 사용자와의 면담, 관찰, 문제 상황 체험 등으로 사용자가 요구하는 것에 대한 정확한 분석 과정을 거쳐 문제를 정확하게 정의할 수 있도록 유도한다.</t>
  </si>
  <si>
    <t>[12창공02-04]</t>
  </si>
  <si>
    <t>공학적 문제 해결 방안 탐색을 위해 확산적 사고 기법을 활용하여 다양한 해결책을 창출하고 범주화한다.</t>
  </si>
  <si>
    <t>[12창공02-05]</t>
  </si>
  <si>
    <t>수렴적 사고 기법을 적용하며 탐색 된 해결책들을 평가하여 최적의 대안을 선정하여 합리적인 해결책을 선정한다.</t>
  </si>
  <si>
    <t>[12창공02-06]</t>
  </si>
  <si>
    <t>공학적 문제 해결 방안을 탐색하거나 선정 시 아이디어를 시각화하여 의사소통 한다.</t>
  </si>
  <si>
    <t>[12창공02-07]</t>
  </si>
  <si>
    <t>선정된 아이디어를 디지털 기반의 설계 도구를 이용하여 설계도를 그린다.</t>
  </si>
  <si>
    <t>이 성취기준은 디지털 기반의 설계 도구를 활용하여 선정된 아이디어를 시각화하는 과정에서 정보 전달 측면을 중심으로 도면의 중요성을 인식하는 데 초점을 둔다.</t>
  </si>
  <si>
    <t>[12창공02-08]</t>
  </si>
  <si>
    <t>시제품 제작에 적합한 재료를 이해하고, 시제품 제작을 위해 재료의 특성을 비교 분석한다.</t>
  </si>
  <si>
    <t>이 성취기준은 재료의 특성을 이해하고 창의 공학 설계의 과정에서 문제를 해결하기 위한 산출물에 적합한 재료를 선택할 수 있는 소양의 기르기 위하여 설정하였으며 학습자가 중심이 되어 문제 상황을 이해하고, 다양한 재료 중 문제를 해결하기 위해 가장 적합한 재료를 선택하는 경험을 제공하는데 주안점을 둔다.</t>
  </si>
  <si>
    <t>[12창공02-09]</t>
  </si>
  <si>
    <t>시제품 제작을 위한 다양한 도구의 종류와 특성을 이해하고 재료에 따른 올바른 도구를 선택 및 사용한다.</t>
  </si>
  <si>
    <t>[12창공02-10]</t>
  </si>
  <si>
    <t>준비된 재료와 도구를 활용하여 안전하게 시제품을 제작하고, 제작 과정을 기록하고 공유한다.</t>
  </si>
  <si>
    <t>이 성취기준은 창의 공학 설계 과정에서 학습자의 성찰과 산출물(모형)의 제작 과정을 기록하고 공유하는 활동에 대한 가치와 중요성을 인식할 수 있도록 설정한 것으로 포트폴리오 제작을 디지털 기반으로 제작 및 활용하여 공유와 확산의 기회를 제공하여 아이디어의 발전을 유도하도록 한다.</t>
  </si>
  <si>
    <t>[12창공02-11]</t>
  </si>
  <si>
    <t>창의 공학 설계의 과정과 산출물을 평가하고, 평가 결과를 바탕으로 시제품을 수정, 보완한다.</t>
  </si>
  <si>
    <t>[12지재01-01]</t>
  </si>
  <si>
    <t>역사적 발명 사례를 통하여 발명의 역사를 탐구하고, 지식재산의 가치와 중요성을 인식한다.</t>
  </si>
  <si>
    <t>[12지재01-02]</t>
  </si>
  <si>
    <t>지식재산권의 개념을 이해하고 지식재산의 종류와 특성을 비교 분석한다.</t>
  </si>
  <si>
    <t>이 성취기준은 지식재산권의 종류인 산업재산권(특허권, 상표권, 디자인권), 신지식재산권, 저작권에 따라 그 개념을 이해하고 각각이 갖는 특성을 사례를 통해 이해할 수 있도록 하는 데 초점을 둔다. 특히 산업재산권은 하위 권리인 특허권, 상표권, 디자인권 별로 각각이 가지는 특성과 내용을 비교하여 이해하도록 한다.</t>
  </si>
  <si>
    <t>[12지재01-03]</t>
  </si>
  <si>
    <t>신지식재산권의 종류와 특징을 이해하고, 사례를 분석한다.</t>
  </si>
  <si>
    <t>[12지재01-04]</t>
  </si>
  <si>
    <t>상표권, 디자인권의 등록요건을 분석하며, 저작물을 분류해보고 저작물의 성립조건을 분석한다.</t>
  </si>
  <si>
    <t>[12지재01-05]</t>
  </si>
  <si>
    <t>발명과 지식재산권의 관계를 파악하고, 지식재산권의 사회⋅경제⋅문화적 영향을 평가하여 지식재산권에 대한 관심과 흥미를 키운다.</t>
  </si>
  <si>
    <t>[12지재01-06]</t>
  </si>
  <si>
    <t>지식재산권의 권리화 과정과 심사 제도를 분석하고, 지식재산권 분야에 대한 진로를 탐색한다.</t>
  </si>
  <si>
    <t>이 성취기준은 지식재산권의 권리화를 위한 법적 및 제도적 절차를 이해하여 지식재산권 확보의 전반적인 과정을 이해하고 각 과정별로 다양한 전문가의 역할을 살펴보면서 지식재산 분야의 관심과 진로를 탐색하도록 한다.</t>
  </si>
  <si>
    <t>[12지재02-01]</t>
  </si>
  <si>
    <t>지식재산권의 종류에 따른 침해와 분쟁 사례 분석을 통하여 지식재산권 보호 개념과 중요성을 이해한다.</t>
  </si>
  <si>
    <t>[12지재02-02]</t>
  </si>
  <si>
    <t>지식재산권 침해에 따른 적절한 대응과 예방을 위한 방안을 제시한다.</t>
  </si>
  <si>
    <t>[12지재02-03]</t>
  </si>
  <si>
    <t>지식재산권 보호 제도를 탐구하고 지식재산권 보호와 활용의 윤리적 실천 방안을 탐색한다.</t>
  </si>
  <si>
    <t>이 성취기준은 지식재산의 보호를 위한 제도적 장치를 법률적 측면에서 경영적 측면으로 확대한 것으로 영업비밀 유출 및 부정 경쟁 행위 등으로 인한 문제를 제도적 및 윤리적 측면에서 논의하고 실천 방안을 다루도록 한다.</t>
  </si>
  <si>
    <t>[12지재02-04]</t>
  </si>
  <si>
    <t>지식재산권의 가치를 활용한 기술 사업화 사례 탐구를 통해 지식재산 활용 방안을 제시한다.</t>
  </si>
  <si>
    <t>이 성취기준은 기술 평가, 기술 거래 및 이전에 대한 내용을 통하여 지식재산권을 활용하는 사례를 탐구하는 것으로 구체적인 기술 평가 및 거래, 기술 이전 등에 대한 방법을 다루는 것이 아니라 지식재산권이 가진 가치를 평가하여 사업화에 활용한 사례를 중심으로 접근하도록 한다.</t>
  </si>
  <si>
    <t>[12지재02-05]</t>
  </si>
  <si>
    <t>기술 창업을 위해 기업가에게 필요한 역량을 탐색하고 지식재산 활용을 위한 윤리적 실천 능력을 기른다.</t>
  </si>
  <si>
    <t>이 성취기준은 기업가정신을 다루되 지식재산권을 활용한 창업이 이루어지기 위하여 성공적 사례와 실패 사례를 비교하여 혁신과 도전의 필요성을 인식하도록 하는 데 초점을 둔다.</t>
  </si>
  <si>
    <t>[12지재02-06]</t>
  </si>
  <si>
    <t>직무 발명 제도의 사례를 통하여 지속가능한 발명 분위기 조성을 위한 직무 발명 보상 제도의 필요성을 이해한다.</t>
  </si>
  <si>
    <t>이 성취기준은 개인, 기업, 사회, 국가의 다양한 측면에서 긍정적인 영향을 중심으로 직무 발명 제도가 갖는 의미를 이해하도록 하는 데 초점을 둔다.</t>
  </si>
  <si>
    <t>[12지재03-01]</t>
  </si>
  <si>
    <t>사용자의 요구를 경청 및 공감을 통하여 발명 문제를 발견하고 정의하며, 해결방안 탐색 및 범주화 과정을 통하여 창의성과 도전 정신을 기른다.</t>
  </si>
  <si>
    <t>이 성취기준은 학습자가 주도하여 발명 문제를 찾아 정의하는 과정에 초점을 둔 것으로 발명가 중심의 사고에서 벗어나 사용자의 관점으로 확대하여 문제점과 요구를 분석하는 체험을 통하여 인간을 존중하고 창의적인 해결방안을 탐색하는 능력을 기르도록 설정하였다.</t>
  </si>
  <si>
    <t>[12지재03-02]</t>
  </si>
  <si>
    <t>지식재산권 정보를 수집하고 관련 선행 기술을 조사하여 비판적 사고와 융합적 관점에서 특허, 디자인, 상표의 권리화 가능성을 높일 수 있는 최적의 해결 방안을 선정한다.</t>
  </si>
  <si>
    <t>[12지재03-03]</t>
  </si>
  <si>
    <t>발명 아이디어를 스케치, 모델링, 도면 작성 등을 통하여 발명 문제 해결 방안을 시각적으로 구체화한다.</t>
  </si>
  <si>
    <t>이 성취기준은 발명 아이디어 스케치, 모델링, 도면 작성 등의 과정에서 디지털 도구(소프트웨어)를 적극 활용하여 디지털 역량을 기르고, 발명 아이디어를 시각화한 자료를 공유하고 토의하여 협력적 의사소통이 이루어질 수 있도록 설정하였다.</t>
  </si>
  <si>
    <t>[12지재03-04]</t>
  </si>
  <si>
    <t>특허 명세서의 구성과 작성 방법을 이해하고, 발명을 보호할 수 있도록 청구항의 범위를 설정하여 명세서를 작성한다.</t>
  </si>
  <si>
    <t>[12지재03-05]</t>
  </si>
  <si>
    <t>특허 출원의 과정을 이해하고, 작성한 명세서를 출원 및 권리화하는 과정을 체험하며, 프로젝트를 평가하는 과정을 통해 지식재산 창업 정신을 기른다.</t>
  </si>
  <si>
    <t>이 성취기준은 특허 출원의 프로젝트 전 과정을 학습자가 주도하고 해결하도록 문제해결 활동과 체험이 이루어지도록 하며, 이를 통하여 지식재산 창출 능력이 요구되는 공학 및 지식재산 분야의 진로 탐색 능력을 기르도록 설정하였다.</t>
  </si>
  <si>
    <t>[12아동01-01]</t>
  </si>
  <si>
    <t>자신의 현재에 이르는 성장 과정을 되돌아보며 자신과 부모와의 상호 작용을 성찰한다.</t>
  </si>
  <si>
    <t>이 성취기준은 자신의 현재까지의 성장 과정을 탐색하여 자신이 어떤 사람인지 살피고, 부모의 신념이나 가치관이 자신의 성장에 어떠한 영향을 미치는가를 인식하여 현재 자신에 이르기까지의 성장 과정을 객관적으로 수용하고 부모와의 상호 작용이 미치는 영향, 부모 역할에 대한 긍정적 인식, 자신이 어떤 유형의 부모가 될 것인지를 예측하도록 한다.</t>
  </si>
  <si>
    <t>[12아동01-02]</t>
  </si>
  <si>
    <t>성숙한 사랑의 의미와 친밀한 관계 형성이 가지는 심리적 의의를 추론하여, 상호 존중의 태도를 바탕으로 한 이성 관계를 형성하는 방안을 제안한다.</t>
  </si>
  <si>
    <t>이 성취기준은 사랑의 이론을 적용한 다양한 사례 분석을 통해 성숙한 사랑의 의미를 추론하고, 이를 바탕으로 성인기의 발달과업인 친밀한 관계 형성이 가지는 심리적 행복의 다양한 측면을 탐색하도록 하며 자신과 상대방의 차이와 다양성을 인정하고 상호 존중하는 성숙한 관계형성의 방안을 탐구하여 제안하도록 한다.</t>
  </si>
  <si>
    <t>[12아동01-03]</t>
  </si>
  <si>
    <t>배우자 선택과 관련한 나와 사회의 고정 관념을 비판적으로 성찰하여 배우자 선택 기준을 제안하고 가족 형성의 개인적⋅사회적 의의를 탐색한다.</t>
  </si>
  <si>
    <t>이 성취기준은 이상적인 배우자상에 대한 개인적, 사회적 고정 관념을 성찰하고 행복한 가정생활(가사, 돌봄, 양육, 경제 활동 등)을 위해 고려해야 할 양성 평등한 배우자 선택 기준을 모색하여 제안하도록 한다. 이를 바탕으로 나와 상대방 모두를 존중하는 배우자를 선택하고 가정을 형성하는 것이 가정 안에 속한 개인적 삶의 만족으로 이어지고 안정적인 사회 유지의 기반이 되는 것과 같이 큰 의미가 있는 일임을 이해하도록 하여, 가족이 가진 개인적 의의를 넘어선 사회적 의의를 탐색하도록 한다. 이와 더불어 특정한 가족의 모습으로 한정하지 않고 다양한 가족의 모습을 탐색하여 타인의 선택을 존중하는 태도를 함양한다.</t>
  </si>
  <si>
    <t>[12아동01-04]</t>
  </si>
  <si>
    <t>현대 사회의 결혼과 가족에 대한 변화된 인식을 반영하여 부모됨의 의미를 추론하고 건강한 부모됨의 중요성을 인식한다.</t>
  </si>
  <si>
    <t>이 성취기준은 현대 사회는 결혼과 가족 형성에서 선택이 강조되고 개인적 삶의 성취와 가족 구성원으로서 삶에서 추구하는 바가 상충한다는 인식이 확산되고 있어 이과 관련하여 부모됨의 의미를 비판적으로 추론하고 건강한 부모됨이 가지는 고유한 의미의 중요성을 인식하도록 한다.</t>
  </si>
  <si>
    <t>[12아동01-05]</t>
  </si>
  <si>
    <t>임신과 출산의 과정이 부모 공동의 책임임을 인식하여 부부가 함께 준비하고 맞이하는 건강한 임신과 출산의 과정을 설계한다.</t>
  </si>
  <si>
    <t>이 성취기준은 저출생⋅고령사회에서 임신과 출산에 대한 가치관의 변화와 결혼과 출산에 대한 청소년의 생각을 반영한 개인적⋅사회적 의미를 이해하고, 임신과 출산의 과정이 부모 중 어느 한 명의 일이 아님을 전제로 계획에서부터 실천의 과정 모두 부모가 함께 참여하는 공동의 책임임을 인식하여 함께 준비하고 양성평등을 실천하는 건강한 임신과 출산의 과정을 설계한다.</t>
  </si>
  <si>
    <t>[12아동01-06]</t>
  </si>
  <si>
    <t>부부간의 성숙한 관계 지속을 방해하는 요인을 탐색해 보고 개인적 요구 및 부모로서의 삶의 균형의 맥락을 파악하고 실현을 위한 조건 및 방안 탐색하여 제안한다.</t>
  </si>
  <si>
    <t>이 성취기준은 가정생활을 유지하는 과정에서 개인의 역할로서 개인적 욕구 및 사회적 요구를 추구하는 것과 부모의 역할로서 자녀 및 배우자의 요구를 수용하는 것이 상충되면서 발생하는 부부 간의 성숙한 관계 지속을 방해하는 요인을 사례 등을 통해 구체적으로 탐색해 보도록 한다. 실제 또는 가상의 사례 분석 등을 통해 삶의 균형에 있어서 갈등이 나타나는 맥락을 파악한 후, 갈등을 해소하고 균형을 실현하기 위한 조건과 방안을 다양하게 탐색하고 그중에서 최선의 대안을 선정하여 제안한다.</t>
  </si>
  <si>
    <t>[12아동02-01]</t>
  </si>
  <si>
    <t>부모상에 대한 사회의 고정 관념을 성찰하고 책임 있는 부모로서의 역량을 키우는 방안을 탐색하며 자녀의 발달 단계별 부모의 역할을 추론한다.</t>
  </si>
  <si>
    <t>[12아동02-02]</t>
  </si>
  <si>
    <t>부모가 자녀를 대하는 양육 태도가 자녀에게 미치는 영향을 인식하고 양육 태도를 비교 분석하여 바람직한 양육 태도를 선택한다.</t>
  </si>
  <si>
    <t>[12아동02-03]</t>
  </si>
  <si>
    <t>발달의 개념 및 원리와 단계, 발달 영역 등 아동 발달의 기초를 인식하고 아동 돌봄의 각 단계에 적용하여 발달 특성을 분석한다.</t>
  </si>
  <si>
    <t>[12아동02-04]</t>
  </si>
  <si>
    <t>각기 다른 발달 이론의 아동 발달을 바라보는 관점을 파악하고 아동의 발달적 요구에 적용하여 다각적으로 분석한다.</t>
  </si>
  <si>
    <t>이 성취기준은 아동발달의 이론에 해당하는 정신분석 이론, 행동주의 이론, 인지발달 이론, 인본주의 이론, 생태학적 이론 등의 아동 발달을 바라보는 다양한 관점의 이론에 대하여 학습하고 이를 아동의 단계별 발달 특성에 적용하여 아동의 발달적 요구를 다각적으로 분석한다.</t>
  </si>
  <si>
    <t>[12아동02-05]</t>
  </si>
  <si>
    <t>신생아기와 영아기의 발달 특성을 파악하여 발달 단계에 적절한 돌봄 방법을 탐색하고 제안한다.</t>
  </si>
  <si>
    <t>이 성취기준은 신생아기, 영아기, 유아기, 아동기의 발달 특징을 이해하고 이에 따른 자녀 돌보기의 방법과 가사 분담 방식을 익혀 양성이 평등한 부모가 되는 데 필요한 역량을 추론하고 부모의 역할 수행을 긍정적으로 바라보도록 한다.</t>
  </si>
  <si>
    <t>[12아동02-06]</t>
  </si>
  <si>
    <t>유아기, 아동기의 발달 특성을 인식하고 각각의 발달 단계에 따른 요구를 존중하는 돌보기 방법을 탐색하여 선택하고 제안한다.</t>
  </si>
  <si>
    <t>[12아동02-07]</t>
  </si>
  <si>
    <t>자녀의 발달적 요구와 부모 개인의 요구가 충돌하는 배경과 맥락을 이해하고 자녀의 요구와 부모 개인의 요구 간 균형을 추구하는 방안을 제안한다.</t>
  </si>
  <si>
    <t>이 성취기준은 자녀를 양육하는 부모에게는 자녀의 발달을 지원하는 부모로서의 역할 수행 요구와 부모가 아닌 개인 생활의 요구를 탐색하고, 자녀의 요구와 부모 개인의 요구가 충돌할 때 정답이 존재하는 것이 아니라는 인식을 전제로 개인과 가족으로서 삶의 가치와 균형을 추구하는 선택을 하도록 다양한 방안을 제안하도록 한다.</t>
  </si>
  <si>
    <t>[12아동02-08]</t>
  </si>
  <si>
    <t>아동의 안전한 돌봄 환경을 조성해야 하는 부모의 권리 및 의무를 인식하고 아동 학대 예방 및 아동 안전 확보 방안을 탐색한다.</t>
  </si>
  <si>
    <t>이 성취기준은 아동에게 안전한 환경을 조성하고 제공하는 것은 부모의 권리이자 의무이므로 아동방임 및 유기, 학대 예방을 위한 지식과 기술, 사회적 지원 방안을 익혀 아동학대 예방 및 아동 안전 확보 방안을 탐색하고 실천하도록 한다.</t>
  </si>
  <si>
    <t>[12아동02-09]</t>
  </si>
  <si>
    <t>아동의 건강한 성장을 지원하는 사회적 부모로서의 역할 수행의 의미를 인식하고 지역사회 돌봄 방안 및 부모 지원 정책을 탐색하여 사회적 돌봄 방안을 제안한다.</t>
  </si>
  <si>
    <t>이 성취기준은 아동의 건강한 성장을 위해서는 가족과 사회가 함께 지원하는 것이 필요함을 인식하도록 하고 사회적 부모로서 이웃의 아동의 건강한 양육에 관심을 가지고 가족 외 돌봄에 해당하는 지역사회 돌봄 방안과 부모 지원 정책을 탐색하여 사회적 돌봄 방안을 아이디어 수준에서 제안한다.</t>
  </si>
  <si>
    <t>[12자립01-01]</t>
  </si>
  <si>
    <t>타인과 적절한 관계 맺기를 위해서는 자아 확립은 물론 관계에서의 경계 세우기가 중요하며, 개별성과 관계성의 균형을 이루기 위한 방안을 탐색하는 것이 필요하다.</t>
  </si>
  <si>
    <t>이 성취기준은 자신의 자아를 건강하게 확립하기 위해 타인과 적절한 정서적 거리두기를 바탕으로 개인 영역의 상호 존중을 통한 적절한 관계 맺기의 의미를 이해하도록 한다. 또한 이 과정에서 자신의 개별성과 타인과의 관계성 간의 균형을 이뤄 성숙하고 균형적인 자아를 확립할 수 있도록 한다. 최근 급격히 늘어난 사회 관계망에서의 다양한 관계 맺기의 이슈를 탐색하고 그 문제점 및 해결 방안을 탐구하도록 지도한다.</t>
  </si>
  <si>
    <t>[12자립01-02]</t>
  </si>
  <si>
    <t>존중하는 만남과 이별의 과정에서 자신과 타인을 보호하는 방안을 제안하고, 다양한 정서적 지지 기반을 형성하여 정신적 건강을 유지하는 방안을 탐색한다.</t>
  </si>
  <si>
    <t>이 성취기준은 사회인으로서 맺게 되는 다양한 관계와의 만남에서 자기 개방과 원만한 관계 맺기의 중요성을 인식한다. 청년 시기에 정서적 지지가 취약할 경우 발생할 수 있는 어려움을 탐색해 보고 존중하는 만남과 이별의 의미를 되새겨볼 수 있도록 한다.</t>
  </si>
  <si>
    <t>[12자립01-03]</t>
  </si>
  <si>
    <t>일상에서 경험하는 다양한 상실과 비탄의 상황에 대처할 수 있는 마음 챙김 방안을 탐색한다.</t>
  </si>
  <si>
    <t>이 성취기준은 일상적 삶 속에서 청년 후기부터는 조부모님이나 부모님의 연로로 인해 발생하는 여러 가지 상실의 상황으로 심리적 어려움을 경험할 수 있다. 또한 진학이나 취업 등으로 기존에 맺어왔던 다양한 관계의 단절을 경험할 뿐 아니라 반려동물과의 이별 등 다양한 상실의 상황을 겪을 수 있으므로 이에 대한 다양한 사례를 탐색하고 대처할 수 있는 방안을 탐구하여 제안하도록 지도한다.</t>
  </si>
  <si>
    <t>[12자립01-04]</t>
  </si>
  <si>
    <t>일상생활에서 성인지 감수성을 높여 상호존중의 성문화를 실천한다.</t>
  </si>
  <si>
    <t>이 성취기준은 성별 간의 불균형에 대한 이해와 지식을 갖춰 일상생활에서 성차별적 요소를 감지하는 민감성을 높여 서로를 배려하는 방안을 탐색해 보고 일상생활에서 이를 실천할 수 있도록 한다.</t>
  </si>
  <si>
    <t>[12자립01-05]</t>
  </si>
  <si>
    <t>사회구성원으로서의 자립적 삶의 태도를 갖기 위해 대인 관계와 관련한 개인적⋅사회적 이슈의 배경과 맥락을 파악하고 비판적으로 성찰한다.</t>
  </si>
  <si>
    <t>이 성취기준은 대인 관계와 관련된 이슈 중 성적인 측면에서 발생할 수 있는 관계 폭력, 상호책임의 피임방법 등에 관한 개인적⋅사회적 이슈를 탐색한다. 이때 이러한 주제에 대한 개인적⋅사회적 배경과 맥락을 파악하고 문제를 해결하는 과정에서 역할 기대를 고려하여 그 방안을 탐색한다.</t>
  </si>
  <si>
    <t>[12자립02-01]</t>
  </si>
  <si>
    <t>경제적 자립을 위해 목표를 설정하고 다양한 수입 창출 방법을 비교 분석하여 자신의 생활양식에 맞는 방안을 설계한다.</t>
  </si>
  <si>
    <t>이 성취기준은 경제활동을 할 때 필요한 서류 및 세금 관련 정보(건강진단결과서, 근로계약서, 4대 보험, 종합소득세 등)를 탐색하고 자신의 상황에 맞는 다양한 수입 창출 방안(취직, 아르바이트, 창업 등)을 고려하여 이를 선택할 수 있는 역량을 함양하도록 한다.</t>
  </si>
  <si>
    <t>[12자립02-02]</t>
  </si>
  <si>
    <t>균형을 중시하는 태도를 바탕으로 금융자산을 형성하고 이를 거래하는 방안을 탐색한다.</t>
  </si>
  <si>
    <t>이 성취기준은 금융자산을 형성하고 이를 거래하는 다양한 방법(은행거래, 보험, 신용카드, 주식, 청년우대 금융 상품 등)을 탐색하고 자신의 수입과 지출을 예상하여 자산 형성 방안을 탐구하도록 한다. 이 성취기준은 안전한 주거 독립을 위해 주거의 형태, 최저 주거 기준, 청년 공공 임대 주택의 종류, 집을 구하는 방법, 선택할 때 필요한 법적 정보, 점검해야 하는 내⋅외부 상태와 주변 환경 요소 등 주거 선택과 관련된 정보를 탐색한다. 실제적인 선택보다 선택을 위한 체크리스트, 주거 선택 설계도, 맵 등을 작성해보도록 한다.</t>
  </si>
  <si>
    <t>[12자립02-03]</t>
  </si>
  <si>
    <t>가정생활 자원의 나눔과 공유의 가치 실천을 위해 제한된 가정생활 자원을 최대한 활용할 수 있는 협력적 소비의 방안을 탐색한다.</t>
  </si>
  <si>
    <t>이 성취기준은 사용하지 않는 것을 서로 빌려주거나 거래하는 것뿐 아니라 공동체와 함께 생산물을 생산하여 공유하는 등의 다양한 협력적 소비 방안을 탐색한다. 이러한 협력적 소비 방안이 자신의 행동에 미치는 영향을 성찰하며, 이를 자신의 삶에서 실천하여 지속가능한 발전에 기여하는 태도를 기를 수 있도록 한다. 이 성취기준은 자신의 개성과 생활양식, 가치관 등을 반영한 주거 공간을 다양한 앱과 모형 등으로 구상해본다. 또한 안정적인 생활을 위해 공과금 납부 방법, 집의 간단한 유지 보수 방법 등을 조사하도록 한다.</t>
  </si>
  <si>
    <t>[12자립02-04]</t>
  </si>
  <si>
    <t>청년기 신용관리의 중요성을 이해하고 금융과 관련된 이슈를 비판적으로 분석하여 미래의 금융 생활을 설계한다.</t>
  </si>
  <si>
    <t>이 성취기준은 신용관리의 중요성을 인식하고 신용관리 방안을 탐색하여 청년 시기부터 안정적인 금융 생활의 역량을 기르도록 한다. 또한 금융 관련 문제에 대한 개인적⋅사회적 배경과 맥락을 파악하여 대출사기, 보이스피싱, 개인 간 거래 등 금융사기 피해 사례를 탐색한다. 또한 이러한 문제를 예방하는 방안과 과소비와 충동 소비, 명품족 등 무분별한 소비문화에 대한 주제를 탐색하도록 한다. 이 성취기준은 국가가 운영하는 주거복지포털 마이홈 및 각 지자체에서 운영하는 청년 자립 지원 누리집, 청년 자립을 지원하는 ‘자립 ON’앱 등을 활용하여 자립 시 필요한 정보를 적극적으로 탐색하도록 한다. 이 성취기준은 남에게 과시하는 것을 중요시하는 삶의 태도로 인해 발생할 수 있는 문제를 파악해보고, 자신과 타인의 삶을 비교하기보다 자신만의 삶의 소중함을 바탕으로 진정한 행복을 추구하는 나다운 삶이 어떤 모습인지 생각해보는 기회를 갖고 이를 설계하도록 한다.</t>
  </si>
  <si>
    <t>[12자립03-01]</t>
  </si>
  <si>
    <t>자신만의 인생 음식을 만들 수 있는 능력을 기르고, 건강을 유지하는 1인 식사의 선택 방안을 탐색하여 실천한다.</t>
  </si>
  <si>
    <t>이 성취기준은 타인과 공유할 수 있는 자신만의 특별한 음식이나 자신에게 의미 있는 음식을 선정하여 이를 조리할 수 있다. 또한 1인 가구의 다양한 식사 선택 방안(집밥, 배달 음식, 포장 음식, 가공식품, 밀키트 등)의 장⋅단점을 분석하여 건강 관리(체중 관리, 대사증후군 예방 등)을 위한 식사를 선택할 수 있도록 한다.</t>
  </si>
  <si>
    <t>[12자립03-02]</t>
  </si>
  <si>
    <t>독립생활의 기초가 되는 안전한 주거를 선택할 때 필요한 정보와 고려해야 할 조건을 분석하여 선택한다.</t>
  </si>
  <si>
    <t>[12자립03-03]</t>
  </si>
  <si>
    <t>자신의 생활공간에 대한 가치를 반영한 공간을 구상하고 관리하는 방안을 탐색한다.</t>
  </si>
  <si>
    <t>[12자립03-04]</t>
  </si>
  <si>
    <t>청년자립을 돕고 건강한 일상생활을 유지할 수 있는 다양한 복지 서비스 정보를 탐색한다.</t>
  </si>
  <si>
    <t>[12자립03-05]</t>
  </si>
  <si>
    <t>행복을 추구하기 위해 나만의 삶의 가치를 반영한 독립적 생활을 설계한다.</t>
  </si>
  <si>
    <t>[9정01-01]</t>
  </si>
  <si>
    <t>컴퓨팅 시스템의 구성요소와 동작 원리를 이해하고, 운영 체제의 기능을 분석한다.</t>
  </si>
  <si>
    <t>컴퓨팅 시스템은 컴퓨터라는 특정한 기기에서 더욱 큰 범위의 시스템으로 확장되었음을 인식하고, 현실 세계에서 볼 수 있는 다양한 컴퓨팅 시스템이 문제를 해결하는 방식을 설명할 수 있어야 한다. 컴퓨팅 시스템이 올바르게 동작하기 위해 운영 체제라는 특수한 형태의 소프트웨어가 필요함을 이해하고, 운영 체제가 컴퓨팅 시스템을 효율적으로 활용하기 위해 수행하는 작업을 설명할 수 있어야 한다.</t>
  </si>
  <si>
    <t>[9정01-02]</t>
  </si>
  <si>
    <t>피지컬 컴퓨팅의 개념을 이해하고, 생활 속에서 적용된 사례 조사를 통해 컴퓨팅 시스템의 필요성과 가치를 판단한다.</t>
  </si>
  <si>
    <t>다양한 구성요소가 컴퓨팅 시스템에서 고유한 역할을 담당하고 있음을 이해하고, 목적에 맞는 물리적인 장치와 소프트웨어를 결합하여 피지컬 컴퓨팅 시스템을 구현하는 과정을 통해 사회의 다양한 영역에서 피지컬 컴퓨팅 시스템이 유용하게 사용될 수 있음을 판단할 수 있어야 한다.</t>
  </si>
  <si>
    <t>[9정01-03]</t>
  </si>
  <si>
    <t>문제 해결 목적에 맞는 피지컬 컴퓨팅 구성요소를 선택하여 시스템을 구상한다.</t>
  </si>
  <si>
    <t>[9정02-01]</t>
  </si>
  <si>
    <t>실생활의 데이터가 디지털 형태로 변환되어 활용되는 긍정적 가치를 탐색하고, 다양한 데이터를 디지털 형태로 표현한다.</t>
  </si>
  <si>
    <t>디지털 형태의 데이터가 갖는 특징과 장점을 탐색하고, 문자, 이미지, 소리, 동영상 등의 데이터를 컴퓨팅 시스템에서 표현하기 위해 사용하는 기법을 활용하여 실제로 데이터를 디지털 형태로 표현할 수 있어야 한다.</t>
  </si>
  <si>
    <t>[9정02-02]</t>
  </si>
  <si>
    <t>문제 해결에 적합한 데이터를 수집하고, 목적에 맞게 구분하여 관리한다.</t>
  </si>
  <si>
    <t>여러 가지 문제 상황을 해결하는 데 활용 가능한 데이터를 다양한 방식으로 수집하고 분류하여 활용도를 높일 수 있어야 한다. 데이터의 종류, 데이터의 의미, 공통점 등 데이터가 가지고 있는 의미나 형식에 따라 데이터를 구분하여 저장하고 활용할 수 있어야 한다.공통 교육과정 – 정보 -</t>
  </si>
  <si>
    <t>[9정02-03]</t>
  </si>
  <si>
    <t>실생활의 데이터를 표, 다이어그램 등 다양한 형태로 구조화한다.</t>
  </si>
  <si>
    <t>[9정02-04]</t>
  </si>
  <si>
    <t>사례를 중심으로 데이터 간의 관계를 파악하고, 데이터에 기반하여 의미를 해석한다.</t>
  </si>
  <si>
    <t>수집, 관리하는 데이터를 분석하기 용이한 형태로 나타내고, 이를 소프트웨어나 프로그래밍으로 분석하여 얻은 결과의 가치를 인식하고, 데이터를 기반으로 자신의 주장을 논리적으로 설명할 수 있어야 한다.</t>
  </si>
  <si>
    <t>[9정02-05]</t>
  </si>
  <si>
    <t>여러 학문 분야의 사례를 중심으로 데이터를 수집⋅분석하여 융합적으로 문제를 해결한다.</t>
  </si>
  <si>
    <t>[9정03-01]</t>
  </si>
  <si>
    <t>문제의 상태를 정의하고 수행 가능한 형태로 구조화한다.</t>
  </si>
  <si>
    <t>[9정03-02]</t>
  </si>
  <si>
    <t>문제 해결을 위한 추상화의 중요성을 이해하고, 핵심요소를 중심으로 알고리즘을 표현한다.</t>
  </si>
  <si>
    <t>[9정03-03]</t>
  </si>
  <si>
    <t>알고리즘의 중요성을 이해하고, 문제를 해결하는 다양한 알고리즘을 비교⋅분석한다.</t>
  </si>
  <si>
    <t>문제를 해결하는 알고리즘은 여러 가지 방식으로 나타날 수 있으나 정보 과목에서 추구하는 목표는 문제를 효과적이고 효율적으로 해결하는 알고리즘임을 인식하고, 하나의 문제를 해결하는 여러 알고리즘에 어떠한 장단점이 존재하는지를 비교⋅분석하여 논리적으로 설명할 수 있어야 한다.</t>
  </si>
  <si>
    <t>[9정03-04]</t>
  </si>
  <si>
    <t>사례를 중심으로 문제 해결에 적합한 전략을 선택하여 알고리즘을 설계한다.</t>
  </si>
  <si>
    <t>문제를 해결하기 위해 정보 분야에서 활용하는 문제 해결 전략을 이해하고, 문제 해결 과정에 적절한 전략을 활용하여 문제를 해결할 수 있어야 한다.</t>
  </si>
  <si>
    <t>[9정03-05]</t>
  </si>
  <si>
    <t>데이터를 순차적으로 저장할 수 있는 구조를 활용하여 문제 해결 프로그램을 작성한다.</t>
  </si>
  <si>
    <t>입력된 데이터를 처리하여 결과 데이터를 도출하는 형태로 프로그램이 제작된다는 개념을 이해하고, 배열이나 리스트 등 데이터를 순차적으로 저장할 수 있는 구조를 활용하여 많은 양의 데이터를 효과적으로 처리할 수 있어야 한다.</t>
  </si>
  <si>
    <t>[9정03-06]</t>
  </si>
  <si>
    <t>논리 연산과 중첩 제어 구조를 활용하여 문제를 해결하는 프로그램을 작성한다.</t>
  </si>
  <si>
    <t>[9정03-07]</t>
  </si>
  <si>
    <t>프로그램 작성에서 함수를 활용하고, 프로그램 수행 결과를 디버거로 분석하여 오류를 수정한다.</t>
  </si>
  <si>
    <t>[9정03-08]</t>
  </si>
  <si>
    <t>실생활의 문제를 탐색하여 발견하고, 프로그래밍을 통해 해결한다.</t>
  </si>
  <si>
    <t>[9정03-09]</t>
  </si>
  <si>
    <t>다양한 학문 분야의 문제 해결을 위해 협력하여 소프트웨어를 개발한다.</t>
  </si>
  <si>
    <t>[9정04-01]</t>
  </si>
  <si>
    <t>인공지능의 개념과 특성을 설명하고 인공지능 소프트웨어를 구별한다.</t>
  </si>
  <si>
    <t>인공지능의 기초적인 개념을 이해하고 모델, 학습, 데이터 등 인공지능 시스템이 구성되는 원리와 문제를 해결하는 과정에 대해 설명할 수 있어야 한다. 이러한 이해를 기반공통 교육과정 – 정보 -으로 소프트웨어가 문제를 해결할 때 인공지능 시스템을 사용하는 부분을 구체적인 방식으로 설명할 수 있어야 한다.</t>
  </si>
  <si>
    <t>[9정04-02]</t>
  </si>
  <si>
    <t>인공지능 학습에서 데이터의 중요성을 이해하고, 학습에 필요한 데이터를 수집하여 분류한다.</t>
  </si>
  <si>
    <t>[9정04-03]</t>
  </si>
  <si>
    <t>다양한 데이터를 활용하여 인공지능 시스템을 구성하고 적용한다.</t>
  </si>
  <si>
    <t>이미지, 소리, 글자 등의 데이터를 활용하여 인공지능 시스템을 학습시키고 학습한 시스템을 활용하여 문제를 해결하는 과정을 수행할 수 있어야 한다.</t>
  </si>
  <si>
    <t>[9정04-04]</t>
  </si>
  <si>
    <t>인공지능 시스템으로 해결 가능한 문제를 발견하고, 문제 해결에 적합한 인공지능 시스템을 적용한다.</t>
  </si>
  <si>
    <t>[9정04-05]</t>
  </si>
  <si>
    <t>인공지능 학습에 필요한 데이터의 수집과 활용에서 발생하는 윤리적인 문제의 해결 방안을 구상한다.</t>
  </si>
  <si>
    <t>인공지능 학습에 필요한 데이터의 수집과 활용에서 나타날 수 있는 여러 가지 현실적인 문제들에 대해 법적, 사회적, 윤리적으로 타당성을 가지는 해결 방안을 제시할 수 있어야 한다. 하나의 문제를 바라보는 여러 측면에 대해 고려하고 각각의 해결 방안이 가지는 장단점을 정리한 후 결론을 도출하는 과정을 경험하면서 인공지능의 사회적 역할과 가치를 판단할 수 있어야 한다.</t>
  </si>
  <si>
    <t>[9정05-01]</t>
  </si>
  <si>
    <t>디지털 사회의 특성을 탐구하고, 사회 변화에 따른 직업의 변화를 탐구한다.</t>
  </si>
  <si>
    <t>[9정05-02]</t>
  </si>
  <si>
    <t>디지털 사회의 구성원으로서 편리하고 안전한 생활을 위한 규칙에 대해 민주적으로 논의하고 실천 방안을 수립한다.</t>
  </si>
  <si>
    <t>디지털 사회를 안전하고 편리하게 살아가는 데 필요한 정보 윤리, 사이버 폭력 및 범죄 예방에 대한 기본적인 소양을 갖추고 스마트폰 중독, 인터넷 중독, 게임 과몰입 등의 구체적인 사례를 분석할 수 있어야 한다. 분석 내용을 기반으로 개인과 사회가 각각 수행해야 하는 실천 방안을 도출하여 자신의 삶에 적용하려는 태도를 갖출 수 있어야 한다.</t>
  </si>
  <si>
    <t>[9정05-03]</t>
  </si>
  <si>
    <t>사례를 중심으로 디지털 공간에서 함께 살아가기 위해 개인 정보 및 권리와 저작권을 보호하는 실천 방법을 탐구한다.</t>
  </si>
  <si>
    <t>[12정01-01]</t>
  </si>
  <si>
    <t>유무선 네트워크의 특성을 이해하고, 컴퓨팅 시스템 간 공유, 협력, 소통을 위한 네트워크 환경을 구성한다.</t>
  </si>
  <si>
    <t>네트워크의 개념과 구성요소, 유⋅무선 통신의 특성 등을 구체적인 예를 들어 설명하고, 다양한 컴퓨팅 시스템 및 사물인터넷 장치에서 활용 가능한 유⋅무선 네트워크 환경을 구성할 수 있어야 한다.</t>
  </si>
  <si>
    <t>[12정01-02]</t>
  </si>
  <si>
    <t>사물인터넷의 구성과 동작 원리를 분석하고, 사물인터넷 기술로 인한 개인의 삶과 사회의 변화를 예측한다.</t>
  </si>
  <si>
    <t>[12정01-03]</t>
  </si>
  <si>
    <t>문제 해결에 적합한 피지컬 컴퓨팅 시스템 장치를 선택하여 사물인터넷 시스템을 설계한다.</t>
  </si>
  <si>
    <t>[12정02-01]</t>
  </si>
  <si>
    <t>디지털 데이터 압축의 개념과 필요성을 이해하고, 압축의 효율성을 분석하여 평가한다.</t>
  </si>
  <si>
    <t>문자, 이미지, 소리 데이터 등의 기본적인 압축 원리를 이해하고 간단한 데이터에 압축 기법을 적용하여 원본 데이터와 품질 및 용량 분석, 압축 방법 간의 효율성을 비교⋅분석할 수 있어야 한다.</t>
  </si>
  <si>
    <t>[12정02-02]</t>
  </si>
  <si>
    <t>암호화의 개념을 이해하고, 암호화를 활용하여 데이터를 안전하게 관리하는 사례를 비교⋅분석한다.</t>
  </si>
  <si>
    <t>비교적 간단한 치환형, 전치형 등의 암호 기법을 활용하여 암호화, 복호화의 과정을 이해하고, 데이터 암호화를 활용하는 사례 분석을 통해 개인과 사회를 보호하기 위한 수단으로 암호화의 중요성과 필요성을 설명할 수 있어야 한다.</t>
  </si>
  <si>
    <t>[12정02-03]</t>
  </si>
  <si>
    <t>빅데이터의 개념과 특징에 대한 이해를 바탕으로, 문제 해결에 적합한 데이터를 수집한다.</t>
  </si>
  <si>
    <t>[12정02-04]</t>
  </si>
  <si>
    <t>빅데이터 분석 도구를 활용하여 데이터를 시각화하고 그 의미와 가치를 해석한다.</t>
  </si>
  <si>
    <t>[12정03-01]</t>
  </si>
  <si>
    <t>복잡한 문제를 해결 가능한 작은 문제로 분해하고 모델링한다.</t>
  </si>
  <si>
    <t>복잡한 문제를 분석하는 단계에서 좀 더 작은 문제로 분해하는 과정을 수행하며, 해결하기 용이하도록 단순화나 구조화하는 모델링 단계를 수행할 수 있어야 한다. 작은 문제의 해결 결과를 종합하는 과정에서 작은 문제를 모두 수행했을 때 전체 문제 해결이 원활하게 이루어지는지, 오류가 없는지를 확인할 수 있어야 한다.</t>
  </si>
  <si>
    <t>[12정03-02]</t>
  </si>
  <si>
    <t>데이터를 정렬하는 다양한 알고리즘의 특징과 효율을 비교⋅분석한다.</t>
  </si>
  <si>
    <t>여러 가지 정렬, 탐색 알고리즘을 적용하여 실생활의 간단한 데이터의 정렬, 탐색 문제를 해결할 수 있어야 한다. 정렬, 탐색 알고리즘의 수행 과정을 분석해보고 문제에 따라 알고리즘의 효율성이 다를 수 있음을 설명할 수 있어야 한다.</t>
  </si>
  <si>
    <t>[12정03-03]</t>
  </si>
  <si>
    <t>데이터를 탐색하는 다양한 알고리즘의 특징과 효율을 비교⋅분석한다.</t>
  </si>
  <si>
    <t>[12정03-04]</t>
  </si>
  <si>
    <t>자료형의 종류와 특성을 알고, 적합한 자료형을 선택하여 프로그램을 작성한다.</t>
  </si>
  <si>
    <t>[12정03-05]</t>
  </si>
  <si>
    <t>표준입출력과 파일입출력을 활용한 프로그램을 작성한다.</t>
  </si>
  <si>
    <t>[12정03-06]</t>
  </si>
  <si>
    <t>다차원 데이터 구조를 활용한 프로그램을 작성한다.</t>
  </si>
  <si>
    <t>[12정03-07]</t>
  </si>
  <si>
    <t>다양한 제어 구조를 복합적으로 활용한 프로그램을 작성한다.</t>
  </si>
  <si>
    <t>[12정03-08]</t>
  </si>
  <si>
    <t>객체를 구현하는 클래스와 인스턴스를 활용하여 프로그램을 작성한다.</t>
  </si>
  <si>
    <t>실생활의 사례를 활용하여 객체 지향의 기본 개념을 이해하고 필요성을 설명할 수 있어야 한다. 클래스와 객체를 생성하고 문제 해결을 위한 프로그램 구현에 활용할 수 있어야 한다.</t>
  </si>
  <si>
    <t>[12정03-09]</t>
  </si>
  <si>
    <t>실생활 및 다양한 학문 분야의 문제 해결을 위한 프로그램을 협력적으로 설계⋅구현한다.</t>
  </si>
  <si>
    <t>[12정03-10]</t>
  </si>
  <si>
    <t>문제 해결을 위한 프로그램의 성능을 평가하고 공유한다.</t>
  </si>
  <si>
    <t>[12정04-01]</t>
  </si>
  <si>
    <t>지능 에이전트의 개념과 특성을 이해하고, 인간과 인공지능의 관계를 분석한다.</t>
  </si>
  <si>
    <t>에이전트와 지능 에이전트를 인식, 학습, 추론, 행동 등 인공지능 관점에서 구분하고, 인공지능 발전 현황에 비추어 인간과 인공지능의 역할에 대해 탐색할 수 있어야 한다.</t>
  </si>
  <si>
    <t>[12정04-02]</t>
  </si>
  <si>
    <t>기계학습의 개념을 이해하고, 지도학습과 비지도학습의 차이를 비교⋅분석한다.</t>
  </si>
  <si>
    <t>[12정04-03]</t>
  </si>
  <si>
    <t>기계학습을 활용하여 해결할 수 있는 문제와 그렇지 않은 문제를 구분하고, 사회문제 해결에 기계학습을 적용한다.</t>
  </si>
  <si>
    <t>회귀, 분류, 군집 등 기계학습 유형을 이해하고, 이를 통해 해결할 수 있는 실생활 및 사회문제를 선별하여 해결책을 적용할 수 있어야 한다.</t>
  </si>
  <si>
    <t>[12정05-01]</t>
  </si>
  <si>
    <t>디지털 기술이 사회에 미치는 영향력을 분석하고 발전 방향을 예측하여 진로를 설계한다.</t>
  </si>
  <si>
    <t>[12정05-02]</t>
  </si>
  <si>
    <t>보호해야 할 정보와 공유해야 할 정보를 구분하고, 올바른 정보 보호 방법을 실천한다.</t>
  </si>
  <si>
    <t>정보 보호와 정보공개의 가치와 영향력을 인식할 수 있어야 하며, 자신뿐만 아니라 타인의 정보 역시 중요함을 이해하고, 개인 정보 보호, 오⋅남용 방지 대책 등 실사례를 탐색하며 개인 정보를 포함하여 정보 보호 방법을 실천할 수 있어야 한다.</t>
  </si>
  <si>
    <t>[12정05-03]</t>
  </si>
  <si>
    <t>정보보안의 필요성을 이해하고, 보안 기술을 활용하여 디지털 윤리를 실천한다.</t>
  </si>
  <si>
    <t>[12인기01-01]</t>
  </si>
  <si>
    <t>인공지능의 지능적 판단에 대한 이해를 바탕으로 인공지능을 활용한 실생활 및 다양한 학문 분야의 문제 해결 사례를 비교⋅분석한다.</t>
  </si>
  <si>
    <t>인공지능의 개념과 특성을 이해하고, 튜링 테스트를 통해 인공지능의 지능적 판단에 대해 고찰하며, 인공지능이 활용된 최신 사례를 분석하여 인공지능의 활용 범위와 중요성을 설명할 수 있어야 한다.</t>
  </si>
  <si>
    <t>[12인기01-02]</t>
  </si>
  <si>
    <t>인공지능에서 탐색의 중요성을 이해하고 문제 해결을 위한 탐색 과정을 설계한다.</t>
  </si>
  <si>
    <t>[12인기01-03]</t>
  </si>
  <si>
    <t>맹목적 탐색과 정보 이용 탐색의 차이를 중심으로 지능적 탐색의 원리를 파악한다.</t>
  </si>
  <si>
    <t>[12인기01-04]</t>
  </si>
  <si>
    <t>지능적 탐색이 필요한 문제를 찾아보고 문제 해결을 위해 정보 이용 탐색 알고리즘을 적용한다.</t>
  </si>
  <si>
    <t>지능적 탐색을 적용할 수 있는 퍼즐이나 길찾기 문제를 탐색하고, 최상 우선, A* 등의 정보 이용 탐색 방법을 적용한 인공지능 프로그램을 개발할 수 있어야 한다.</t>
  </si>
  <si>
    <t>[12인기01-05]</t>
  </si>
  <si>
    <t>규칙과 사실을 활용하여 지식을 표현하고, 새로운 지식을 추론하여 생성한다.</t>
  </si>
  <si>
    <t>[12인기02-01]</t>
  </si>
  <si>
    <t>기계학습을 적용할 문제를 정의하고, 문제 해결에 필요한 데이터를 선정하여 수집한다.</t>
  </si>
  <si>
    <t>전통적 프로그래밍과 대비되는 기계학습의 특성을 이해하여 기계학습 기반의 인공지능을 적용할 문제를 판단하고, 문제 해결에 적합한 데이터를 수집할 수 있어야 한다. 이 과정에서 나타날 수 있는 데이터의 편향이 인공지능의 학습에 영향을 미칠 수 있음을 고려하여 데이터의 수집과 활용에 공정성을 추구할 수 있어야 한다.</t>
  </si>
  <si>
    <t>[12인기02-02]</t>
  </si>
  <si>
    <t>수집한 데이터를 가공하여 핵심 속성을 추출한다.</t>
  </si>
  <si>
    <t>기계학습에 사용할 데이터를 수집한 후, 결측치와 이상치의 유무를 파악하고 문제 해결에 필요한 속성이 무엇인지 선별한 다음 문제 해결에 적합한 형태로 전처리할 수 있어야 한다.</t>
  </si>
  <si>
    <t>[12인기02-03]</t>
  </si>
  <si>
    <t>문제 해결에 적합한 기계학습의 유형과 알고리즘을 선정한다.</t>
  </si>
  <si>
    <t>기계학습의 유형을 지도학습과 비지도학습, 강화학습 등으로 구분하고, 해결해야 하는 문제의 특성을 고려하여 문제 해결에 적합한 유형을 선정할 수 있어야 한다. 또한, 분류, 예측, 군집 등에 활용하는 기계학습 알고리즘을 이해하여 문제 해결에 적합한 알고리즘을 선정할 수 있어야 한다.</t>
  </si>
  <si>
    <t>[12인기02-04]</t>
  </si>
  <si>
    <t>훈련 데이터를 이용하여 학습을 진행하고, 테스트 데이터를 사용하여 성능을 평가한다.</t>
  </si>
  <si>
    <t>[12인기02-05]</t>
  </si>
  <si>
    <t>인공신경망과 딥러닝의 특성에 대한 이해를 바탕으로 활용 분야를 탐색한다.</t>
  </si>
  <si>
    <t>[12인기02-06]</t>
  </si>
  <si>
    <t>딥러닝을 활용하여 실생활 및 다양한 학문 분야의 문제를 해결하고, 성능을 평가한다.</t>
  </si>
  <si>
    <t>딥러닝을 기반으로 하는 컴퓨터 비전, 음성 인식, 자연어처리 기술을 구현하는 방식을 이용하고, 적합한 딥러닝 기술을 활용하여 실생활 및 다양한 학문 분야의 문제를 해결할 수 있어야 한다. 문제 해결에 있어 딥러닝을 활용해 문제를 해결하는 경우와 다른 방법으로 문제를 해결한 경우의 차이점을 설명할 수 있어야 한다.</t>
  </si>
  <si>
    <t>[12인기03-01]</t>
  </si>
  <si>
    <t>인공지능의 발전으로 인한 사회 변화를 살펴보고, 인공지능으로 해결할 수 있는 사회적 문제를 분석한다.</t>
  </si>
  <si>
    <t>[12인기03-02]</t>
  </si>
  <si>
    <t>인공지능에 의해 변화하는 인간의 삶과 직업의 양상에 대해 이해하고 진로를 탐색한다.</t>
  </si>
  <si>
    <t>[12인기03-03]</t>
  </si>
  <si>
    <t>인공지능에 대한 비판적 자세를 바탕으로 인공지능과 인간의 공존 방안을 도출한다.</t>
  </si>
  <si>
    <t>인공지능에 대한 일방적인 수용 또는 거부보다는, 비판적인 자세를 바탕으로 인간과 공존해야 하는 존재로서 인공지능의 역할을 제시할 수 있어야 한다. 인공지능을 대하는 인간의 태도에 대한 윤리적 고찰을 통해 바람직한 공존 방식을 규정할 수 있어야 한다.</t>
  </si>
  <si>
    <t>[12인기03-04]</t>
  </si>
  <si>
    <t>인공지능의 활용사례와 윤리적 딜레마 상황을 인공지능 윤리 관점에서 분석한다.</t>
  </si>
  <si>
    <t>인간의 편향성에 대한 이해를 바탕으로, 알고리즘과 데이터의 편향성으로 인해 인공지능이 사회에 끼치는 영향을 이해하고 인공지능으로 인한 딜레마 상황에서 윤리적인 판단과 선택을 할 수 있어야 한다. 현재까지 정의되어진 인공지능 윤리(지침)와 관련하여 인공지능 개발자, 사용자, 운영⋅관리자 관점을 살펴보고, 인공지능 기술 활용으로 발생 가능한 윤리적 쟁점에 대하여 사회적 책임과 공정성의 가치를 판단할 수 있어야 한다.</t>
  </si>
  <si>
    <t>[12인기04-01]</t>
  </si>
  <si>
    <t>지속가능발전목표를 해결하기 위해 인공지능을 적용할 수 있는 방안을 탐색하고, 인공지능 프로젝트 활동에 적합한 주제를 도출한다.</t>
  </si>
  <si>
    <t>지속가능발전목표는 2015년 유엔 총회에서 결의한 것으로 총 17개의 주요 목표와 169개의 세부 목표로 구성되어 있다는 것을 이해하고, 17개의 주요 목표를 통해 현재 인류가 직면하고 있는 위기가 무엇인지 인식할 수 있어야 한다. 인공지능을 활용하여 달성할 수 있는 목표에는 어떤 것이 있는지를 살펴보고 인공지능 프로젝트 활동에 적합한 주제를 도출할 수 있어야 한다.</t>
  </si>
  <si>
    <t>[12인기04-02]</t>
  </si>
  <si>
    <t>인공지능 문제 해결 과정에 기반하여 프로젝트 수행 계획을 구안한다.</t>
  </si>
  <si>
    <t>문제 정의, 문제 해결에 적합한 데이터 수집 및 전처리, 기계학습 유형과 알고리즘 선정, 기계학습을 통한 모델 생성, 성능 평가 및 수정 등의 인공지능 문제 해결 과정에 따라 프로젝트 수행 계획을 구안할 수 있어야 한다.</t>
  </si>
  <si>
    <t>[12인기04-03]</t>
  </si>
  <si>
    <t>인공지능 프로젝트를 수행하는 과정에서 협력적인 문제 해결 자세를 바탕으로 인공지능 소프트웨어를 개발한다.</t>
  </si>
  <si>
    <t>[12인기04-04]</t>
  </si>
  <si>
    <t>인공지능의 사회적 영향을 고려하여 인공지능 소프트웨어를 개발하고, 평가 결과를 반영하여 성능을 개선한다.</t>
  </si>
  <si>
    <t>[12데과01-01]</t>
  </si>
  <si>
    <t>데이터 과학의 개념을 이해하고, 문제 해결 사례를 데이터 기반 의사 결정 상황에 적용한다.</t>
  </si>
  <si>
    <t>[12데과01-02]</t>
  </si>
  <si>
    <t>정형 데이터와 비정형 데이터를 구분하고, 데이터 속성에서 데이터의 잠재적 가치를 파악한다.</t>
  </si>
  <si>
    <t>데이터의 형태를 바탕으로 정형 데이터와 비정형 데이터를 구분하고, 정형 데이터에서 데이터 속성별 의미와 속성 간 관계를 파악하여 수집된 데이터가 분석 대상으로서 가치가 있는지 판단할 수 있어야 한다.</t>
  </si>
  <si>
    <t>[12데과01-03]</t>
  </si>
  <si>
    <t>데이터셋의 집합인 데이터베이스를 이해하고, 서로 다른 데이터셋의 데이터를 분석이 가능한 형태로 통합하는 것의 의미를 파악한다.</t>
  </si>
  <si>
    <t>서로 다른 데이터셋 간 공통된 속성을 기준으로 데이터를 통합할 수 있음을 이해하고, 데이터셋 간의 관계를 바탕으로 데이터베이스의 개념을 설명할 수 있어야 한다. 대규모의 데이터를 여러 사람이 공유하기 위해서는 체계적인 시스템이 필요하다는 점을 바탕으로 데이터베이스의 필요성을 설명할 수 있어야 한다.</t>
  </si>
  <si>
    <t>[12데과01-04]</t>
  </si>
  <si>
    <t>데이터로 인한 사회 변화를 인식하고, 진로 및 직업과 관련한 데이터 기반 문제 해결 사례를 분석한다.</t>
  </si>
  <si>
    <t>[12데과02-01]</t>
  </si>
  <si>
    <t>데이터를 편향되지 않도록 수집하고, 수집된 데이터의 특성을 분석한다.</t>
  </si>
  <si>
    <t>데이터의 선택과 수집된 데이터를 활용하는 과정에서 발생할 수 있는 편향성을 최소화하고, 수집된 데이터의 출처, 규모, 데이터 속성별 자료형, 간단한 통계적 특성 등 데이터의 특성을 분석하고 파악할 수 있어야 한다.</t>
  </si>
  <si>
    <t>[12데과02-02]</t>
  </si>
  <si>
    <t>이상치와 결측치 탐색 및 정규화를 통해 전처리하여 오류 가능성을 최소화하고, 데이터 분석을 위해 시각화한다.</t>
  </si>
  <si>
    <t>[12데과02-03]</t>
  </si>
  <si>
    <t>데이터를 분석하기 위해 데이터 속성 간의 관계를 파악하고 통합한다.</t>
  </si>
  <si>
    <t>[12데과02-04]</t>
  </si>
  <si>
    <t>동일한 데이터를 서로 다른 분석 방법을 적용하여 분석 결과를 비교한다.</t>
  </si>
  <si>
    <t>동일한 데이터에 서로 다른 분석 방법을 적용하는 경우 분석 결과가 달라질 수 있음을 이해하고, 분석 방법과 연관지어 서로 다른 결과가 나온 이유를 분석하고 비교할 수 있어야 한다.</t>
  </si>
  <si>
    <t>[12데과03-01]</t>
  </si>
  <si>
    <t>데이터 모델 개념을 이해하고 데이터 분석에 활용할 수 있는 도구를 탐색한다.</t>
  </si>
  <si>
    <t>[12데과03-02]</t>
  </si>
  <si>
    <t>동일한 데이터를 통계적 회귀모델과 기계학습을 통한 회귀모델로 분석하여 결과 해석 내용을 비교한다.</t>
  </si>
  <si>
    <t>[12데과03-03]</t>
  </si>
  <si>
    <t>데이터의 속성에 대한 유사성을 측정하고 분석하여 군집을 형성하고, 군집 분석 결과의 의미를 해석한다.</t>
  </si>
  <si>
    <t>데이터의 속성을 바탕으로 유사도가 높은 데이터끼리 묶어 다수의 군집으로 나누고 군집 내 유사성과 군집 간 상이성을 설명할 수 있어야 한다.</t>
  </si>
  <si>
    <t>[12데과03-04]</t>
  </si>
  <si>
    <t>데이터 간의 관계를 분석하고 상호 연관성을 파악하여 결과의 의미를 해석한다.</t>
  </si>
  <si>
    <t>장바구니 분석의 사례를 통해 연관 분석의 원리를 이해하고, 데이터 속성 간 지지도, 신뢰도, 향상도를 측정하며 데이터 속성 간 연관 규칙을 찾아낼 수 있어야 한다.</t>
  </si>
  <si>
    <t>[12데과03-05]</t>
  </si>
  <si>
    <t>데이터 분석 방법에 따른 데이터 모델의 분석 결과를 비교하고 평가한다.</t>
  </si>
  <si>
    <t>데이터 특성과 분석 목적에 적합한 평가 방법(예측률, 정확도 등)을 선정하고, 이를 바탕으로 데이터 분석 결과를 해석하고 그 의미를 판단할 수 있어야 한다.</t>
  </si>
  <si>
    <t>[12데과03-06]</t>
  </si>
  <si>
    <t>다양한 분석 방법을 비교하고 평가하여 분석 목적에 가장 적합한 분석 방법을 적용한다.</t>
  </si>
  <si>
    <t>[12데과04-01]</t>
  </si>
  <si>
    <t>분야별 데이터 과학의 적용 사례를 조사하여 분석하고, 데이터로 해결 가능한 주제를 찾아 적합성을 판단한다.</t>
  </si>
  <si>
    <t>[12데과04-02]</t>
  </si>
  <si>
    <t>수집된 데이터를 탐색적으로 분석하여 데이터 속 의미를 파악하고, 문제 해결을 위한 창의적인 방법을 구상한다.</t>
  </si>
  <si>
    <t>[12데과04-03]</t>
  </si>
  <si>
    <t>데이터 분석을 진행할 때, 2개 이상의 방법을 사용하여 분석하고 결과를 비교한다.</t>
  </si>
  <si>
    <t>동일한 데이터를 기반으로 서로 다른 데이터 전처리, 데이터 분석 방법을 적용한 결과를 비교하여 가장 적절한 데이터 모델링 방법을 설계할 수 있어야 한다.</t>
  </si>
  <si>
    <t>[12데과04-04]</t>
  </si>
  <si>
    <t>복잡하고 어려운 문제라도 끝까지 해결하기 위한 자세를 갖추고 분석하여, 분석 결과에 대한 의미를 해석한다.</t>
  </si>
  <si>
    <t>[12데과04-05]</t>
  </si>
  <si>
    <t>분석을 위한 목적부터 데이터 수집 및 분석에 이르는 전 과정을 성찰하고, 사회적 영향을 고려하여 분석 결과의 활용방안을 탐색한다.</t>
  </si>
  <si>
    <t>데이터 분석을 통한 문제 해결 과정에서 파생되는 사회적인 영향, 윤리적인 문제를 성찰하고 데이터 모델을 수정한 후, 문제 해결 결과를 일반화하고 공유할 수 있어야 한다.</t>
  </si>
  <si>
    <t>[12소생01-01]</t>
  </si>
  <si>
    <t>소프트웨어가 세상을 변화시킨 사례를 탐색하고 소프트웨어가 사회 변화에 미치는 영향을 분석한다.</t>
  </si>
  <si>
    <t>[12소생01-02]</t>
  </si>
  <si>
    <t>실세계의 문제와 현상을 소프트웨어의 관점으로 바라보고 소프트웨어 발전에 따른 미래 사회의 변화를 예측한다.</t>
  </si>
  <si>
    <t>세상의 문제와 현상에 대한 구체적 사례와 특징을 소프트웨어 기술을 도입하기 전과 후로 구분하여 분석하고 이를 바탕으로 사회 변화의 흐름을 파악할 수 있어야 한다.</t>
  </si>
  <si>
    <t>[12소생01-03]</t>
  </si>
  <si>
    <t>소프트웨어 융합을 통한 문제 해결 사례를 바탕으로, 다양한 학문 분야에서 소프트웨어와의 융합을 통해 문제를 해결하는 방법을 비교⋅분석한다.</t>
  </si>
  <si>
    <t>인문, 사회, 과학, 예술 등 다양한 학문 분야에서 소프트웨어와 융합으로 문제가 해결되거나 발전한 구체적인 사례를 탐색하여 소프트웨어와의 융합을 통한 문제 해결이 가지는 장점을 설명할 수 있어야 한다.</t>
  </si>
  <si>
    <t>[12소생02-01]</t>
  </si>
  <si>
    <t>피지컬 컴퓨팅 도구로 구현된 작품의 구성 및 작동 원리를 분석한다.</t>
  </si>
  <si>
    <t>피지컬 컴퓨팅 도구로 구현된 작품 또는 장치를 분석하여 센서나 액추에이터의 기능과 역할을 설명하고, 센서나 액추에이터를 다양한 용도로 유연하게 활용할 수 있음을 인식할 수 있어야 한다.</t>
  </si>
  <si>
    <t>[12소생02-02]</t>
  </si>
  <si>
    <t>소프트웨어를 통해 아이디어를 표현하는 데 필요한 센서와 액추에이터를 선택하여 피지컬 컴퓨팅 시스템을 구성한다.</t>
  </si>
  <si>
    <t>[12소생02-03]</t>
  </si>
  <si>
    <t>피지컬 컴퓨팅을 통해 미디어 아트 작품을 창작하고, 창작에 활용된 소프트웨어의 가치를 파악한다.</t>
  </si>
  <si>
    <t>[12소생02-04]</t>
  </si>
  <si>
    <t>웨어러블 장치 작품을 창작하고 공유하는 과정을 통해 소프트웨어의 가치를 확산한다.</t>
  </si>
  <si>
    <t>[12소생03-01]</t>
  </si>
  <si>
    <t>사회 현상을 분석할 수 있는 데이터의 중요성과 가치를 인식하고, 데이터를 탐색하여 활용 방안을 구상한다.</t>
  </si>
  <si>
    <t>데이터를 활용하는 다양한 사회 현상을 탐색하여 데이터 분석의 필요성을 인식할 수 있어야 한다. 공공 및 민간 데이터 제공 플랫폼을 통해 문제 해결에 필요한 데이터를 탐색하고, 탐색한 데이터의 활용 방안을 파악할 수 있어야 한다.</t>
  </si>
  <si>
    <t>[12소생03-02]</t>
  </si>
  <si>
    <t>데이터 유형에 따라 적합한 방법으로 데이터를 수집하고, 목적에 맞게 처리하고 관리한다.</t>
  </si>
  <si>
    <t>수집 의도에 맞는 데이터 유형(정형데이터, 비정형데이터 등)에 따라 알맞은 데이터 수집 방법이나 도구를 선택하고, 수집한 데이터에서 필요한 부분과 필요하지 않은 부분을 구분하여 데이터를 정제하고 저장할 수 있어야 한다.</t>
  </si>
  <si>
    <t>[12소생03-03]</t>
  </si>
  <si>
    <t>데이터를 분석하고 시각화하여 다양한 사회 현상의 의미를 해석한다.</t>
  </si>
  <si>
    <t>[12소생03-04]</t>
  </si>
  <si>
    <t>데이터의 사회적 가치에 대한 이해를 토대로 데이터를 분석하고 의미를 파악한 후, 결과를 윤리적으로 활용한다.</t>
  </si>
  <si>
    <t>[12소생04-01]</t>
  </si>
  <si>
    <t>시뮬레이션 프로그램의 개념과 구성요소를 이해하고 가치를 파악한다.</t>
  </si>
  <si>
    <t>시뮬레이션 프로그램 제작을 위해 화면 구성, 구현 기능 등의 요소를 파악하고 시뮬레이션의 실제적 활용을 통해 시뮬레이션의 필요성과 역할을 인식할 수 있어야 한다.</t>
  </si>
  <si>
    <t>[12소생04-02]</t>
  </si>
  <si>
    <t>다양한 시뮬레이션 프로그램의 활용 분야를 탐색하고 활용 방안을 구상한다.</t>
  </si>
  <si>
    <t>예측, 실험, 게임 등 다양한 분야에서 시뮬레이션 프로그램이 활용된 목적과 방법을 바탕으로 구현하려는 시뮬레이션의 화면 및 기능을 계획할 수 있어야 한다.</t>
  </si>
  <si>
    <t>[12소생04-03]</t>
  </si>
  <si>
    <t>시뮬레이션 프로그램 구성 방법에 따라 복잡한 문제나 현상의 원리를 시뮬레이션 모델로 표현한다.</t>
  </si>
  <si>
    <t>[12소생04-04]</t>
  </si>
  <si>
    <t>소프트웨어를 적극적으로 활용하여 시뮬레이션 모델을 구현한다.</t>
  </si>
  <si>
    <t>[12소생05-01]</t>
  </si>
  <si>
    <t>소프트웨어 스타트업의 개념을 이해하고 새로운 가치를 창출하는 소프트웨어 스타트업 사례를 분석한다.</t>
  </si>
  <si>
    <t>창업과 스타트업의 차이를 파악하고 소프트웨어 스타트업의 성공 사례와 실패 사례를 바탕으로 스타트업 프로젝트 기획 방법, 스타트업 운영 시 고려 사항 등을 분석할 수 있어야 한다.</t>
  </si>
  <si>
    <t>[12소생05-02]</t>
  </si>
  <si>
    <t>소프트웨어 스타트업 프로젝트의 수행 과정을 이해하고, 사용자 요구를 분석하여 소프트웨어 스타트업 아이디어를 구안한다.</t>
  </si>
  <si>
    <t>사용자 요구 분석을 통한 주제 선정, 해결 아이디어 구안, 소프트웨어 설계 및 제작, 소프트웨어 평가의 절차로 수행되는 소프트웨어 스타트업 프로젝트의 수행 과정을 이해하고 적용할 수 있어야 한다.</t>
  </si>
  <si>
    <t>[12소생05-03]</t>
  </si>
  <si>
    <t>스타트업 프로젝트에 적합한 소프트웨어를 협력적으로 설계하고 구현한다.</t>
  </si>
  <si>
    <t>[12소생05-04]</t>
  </si>
  <si>
    <t>개발한 소프트웨어의 가치를 사회적, 기능적, 윤리적 관점에서 평가한다.</t>
  </si>
  <si>
    <t>[9체01-01]</t>
  </si>
  <si>
    <t>체력 증진의 의미를 이해하고 원리를 분석한다.</t>
  </si>
  <si>
    <t>은 체력 증진의 의미와 원리를 이해함으로써 효과적으로 체력 운동을 계획하기 위해 설정하였다. 체력 증진에 작용하는 과부하의 원리, 개별성의 원리, 점진성의 원리 등의 개념을 이해하고 분석하도록 한다.</t>
  </si>
  <si>
    <t>[9체01-02]</t>
  </si>
  <si>
    <t>자신의 체력 수준에 맞는 체력 증진 운동을 실천한다.</t>
  </si>
  <si>
    <t>는 체력 증진 원리에 따라 체력 요소별 운동 방법을 자신의 체력 수준에 적합하게 실천하기 위해 설정하였다. 체력 요소별로 심화된 수준의 체력 운동 방법을 이해하고 실천하도록 한다.영역세부 영역신체활동 예시표현 스포츠 표현 활동∙ 창작체조 활동, 음악줄넘기 활동 등전통 표현 활동∙ 우리나라의 민속무용 활동, 외국의 민속무용 활동 등현대 표현 활동∙ 라인댄스 활동, 댄스스포츠 활동, 스트리트댄스 활동 등</t>
  </si>
  <si>
    <t>[9체01-03]</t>
  </si>
  <si>
    <t>체력 관리의 의미를 이해하고 원리를 분석한다.</t>
  </si>
  <si>
    <t>은 체력 관리의 의미와 원리를 이해함으로써 효과적으로 자신의 체력 관리 방법을 계획하기 위해 설정하였다. 일상생활에서 체력을 유지하거나 증진하는데 필요한 주 단위의 유산소성 운동, 유연성 운동, 근력 및 근지구력 운동, 좌식 생활 최소화 등 체력 관리의 기본 원리를 이해하고 분석하도록 한다.</t>
  </si>
  <si>
    <t>[9체01-04]</t>
  </si>
  <si>
    <t>자신의 체력을 진단하고 적합한 체력 관리 방법을 실천한다.</t>
  </si>
  <si>
    <t>는 일상생활에서 체력 관리 원리에 따라 체력 운동을 실천하기 위해 설정하였다. 일상생활에서 스스로 체력을 진단한 후 계획, 실행, 평가의 절차에 따라 체력 관리에 필요한 운동을 습관화하도록 한다.</t>
  </si>
  <si>
    <t>[9체01-05]</t>
  </si>
  <si>
    <t>운동 처방의 의미를 이해하고 원리를 분석한다.</t>
  </si>
  <si>
    <t>는 운동 처방의 의미와 구성 요소를 이해함으로써 체력 증진 목표와 수준에 따라 맞춤형 운동 처방을 계획하기 위해 설정하였다. 운동 빈도, 운동 강도, 운동 시간, 운동 형태 등의 요소를 이해하고 각 요소가 운동 처방에 어떻게 활용되는지를 이해하고 분석하도록 한다.</t>
  </si>
  <si>
    <t>[9체01-06]</t>
  </si>
  <si>
    <t>자신의 신체 조건이나 체력에 맞게 운동 처방 계획을 수립하고 안전하게 실천한다.</t>
  </si>
  <si>
    <t>은 운동 처방 원리에 따라 자신의 신체 조건이나 체력에 맞는 맞춤형 운동 처방을 실천하기 위해 설정하였다. 자신의 체격과 체력 발달 수준 검사, 운동 처방 목적 등을 고려하여 내용 설계, 실행, 평가 단계에 맞춰 운동 처방 프로그램을 안전하게 실천하도록 한다.</t>
  </si>
  <si>
    <t>[9체01-07]</t>
  </si>
  <si>
    <t>신체 건강의 의미를 이해하고 신체 건강 활동의 종류와 특성을 분석한다.</t>
  </si>
  <si>
    <t>은 신체 건강을 유지하기 위한 활동을 이해함으로써 신체적으로 건강한 생활을 계획하기 위해 설정하였다. 운동 습관, 식이 관리, 약물과 기호품 관리, 질병 예방 등 신체 건강에 영향을 미치는 다양한 활동과 실천 방법, 효과 등을 이해하고 분석하도록 한다.</t>
  </si>
  <si>
    <t>[9체01-08]</t>
  </si>
  <si>
    <t>자신에게 적합한 신체 건강 활동 방법을 실천한다.</t>
  </si>
  <si>
    <t>은 자신에게 필요한 신체 건강 활동을 실천하기 위해 설정하였다. 걷기, 스트레칭 등의 운동, 바른 자세, 올바른 식생활 및 기호품 관리, 약물 오남용 예방, 질병 예방 활동 등의 건강 활동을 일상생활에서 지속해서 실천하도록 한다.</t>
  </si>
  <si>
    <t>[9체01-09]</t>
  </si>
  <si>
    <t>정신 건강의 의미를 이해하고 정신 건강 활동의 종류와 특성을 분석한다.</t>
  </si>
  <si>
    <t>는 정신 건강을 유지하기 위한 활동을 이해함으로써 정서적, 심리적으로 건강한 생활을 계획하기 위해 설정하였다. 스트레스 및 감정 조절 등 정신 건강에 영향을 미치는 다양한 활동과 실천 방법 및 효과 등을 이해하고 분석하도록 한다.</t>
  </si>
  <si>
    <t>[9체01-10]</t>
  </si>
  <si>
    <t>자신에게 적합한 정신 건강 활동 방법을 실천한다.</t>
  </si>
  <si>
    <t>은 자신에게 필요한 정신 건강 활동을 실천하기 위해 설정하였다. 호흡법, 근육 이완법, 요가, 필라테스 등의 건강 활동을 일상생활에서 지속해서 실천하도록 한다.</t>
  </si>
  <si>
    <t>[9체01-11]</t>
  </si>
  <si>
    <t>사회적 건강의 의미를 이해하고 사회적 건강을 위한 활동의 종류와 특성을 분석한다.</t>
  </si>
  <si>
    <t>은 사회적 건강을 유지하기 위한 활동을 이해함으로써 사회 구성원으로서 건강하고 안전한 생활을 계획하기 위해 설정하였다. 양성평등 및 성 건강, 생활 안전 등 가정, 학교, 지역사회 공동체에서 자신과 타인, 집단의 건강한 생활에 필요한 방법을 이해하고 분석하도록 한다.</t>
  </si>
  <si>
    <t>[9체01-12]</t>
  </si>
  <si>
    <t>사회적으로 적합한 건강 활동 방법을 실천한다.</t>
  </si>
  <si>
    <t>는 사회 구성원에게 필요한 건강 활동을 실천하기 위해 설정하였다. 양성평등 및 성 건강 관련 활동, 생활 안전 활동, 재난⋅재해 예방 및 대처 활동, 응급처치 활동 등을 일상생활에서 지속해서 실천하며 긍정적인 사회적 관계를 형성해 나가도록 한다.</t>
  </si>
  <si>
    <t>[9체01-13]</t>
  </si>
  <si>
    <t>체력 운동을 하며 실천 의지와 인내심을 보이고 자기 주도적으로 문제를 해결한다.</t>
  </si>
  <si>
    <t>은 체력 운동을 지속해서 실천하기 위해 설정하였다. 체력 운동 과정에서 발생할 수 있는 시간적, 공간적 제약과 개인의 의지 등의 문제를 이겨내고 목표와 활동 방법을 주어진 환경에 맞게 수정하여 자기 주도적으로 활동을 지속하도록 한다.</t>
  </si>
  <si>
    <t>[9체01-14]</t>
  </si>
  <si>
    <t>건강 활동을 자율적으로 실천하며 자신과 공동체에 대한 안전을 추구한다.</t>
  </si>
  <si>
    <t>는 건강 활동을 자율적으로 실천하는 능력을 기르기 위해 설정하였다. 자신의 건강뿐만 아니라 타인과의 관계, 사회 전체의 건강한 환경 조성을 위한 바람직한 태도를 실천하도록 한다. 개인의 자율성과 주도성을 바탕으로 공동체의 건강을 위해 타인과 함께 건강하고 안전한 환경을 조성하는 일에 적극적으로 참여하도록 한다.</t>
  </si>
  <si>
    <t>[9체02-01]</t>
  </si>
  <si>
    <t>동작형 스포츠의 역사와 특성을 탐색하고 비교한다.</t>
  </si>
  <si>
    <t>[9체02-02]</t>
  </si>
  <si>
    <t>동작형 스포츠의 수행 원리를 적용하여 경기 기능을 수련하고 향상한다.</t>
  </si>
  <si>
    <t>[9체02-03]</t>
  </si>
  <si>
    <t>동작형 스포츠의 경기 방법을 이해하고 경기 전략을 상황에 맞게 활용하며 안전하게 경기한다.</t>
  </si>
  <si>
    <t>은 동작형 스포츠의 경기 방법을 이해하고, 자신과 팀의 경기 능력, 시설 및 용⋅기구 등을 파악하여 경기 상황에 맞게 경기 전략을 활용하기 위해 설정하였다. 동작형 스포츠 경기를 수행하며 동작의 완성도에 중점을 두고, 경기 과정에서 공중 동작, 착지 중 낙상 등 운동으로 인한 손상 없이 안전하게 경기하며 사고 발생 시 신속하게 대처하도록 한다.</t>
  </si>
  <si>
    <t>[9체02-04]</t>
  </si>
  <si>
    <t>기록형 스포츠의 역사와 특성을 탐색하고 비교한다.</t>
  </si>
  <si>
    <t>[9체02-05]</t>
  </si>
  <si>
    <t>기록형 스포츠의 수행 원리를 적용하여 경기 기능을 수련하고 향상한다.</t>
  </si>
  <si>
    <t>[9체02-06]</t>
  </si>
  <si>
    <t>기록형 스포츠의 경기 방법을 이해하고 경기 전략을 상황에 맞게 활용하며 안전하게 경기한다.</t>
  </si>
  <si>
    <t>은 기록형 스포츠의 경기 방법을 이해하고, 상대 선수와 팀의 경기 능력, 시설 및 용⋅기구, 기후 조건 등을 파악하여 경기 상황에 맞게 경기 전략을 활용하기 위해 설정하였다. 기록형 스포츠 경기를 수행하며 기록 향상에 중점을 두고, 경기 과정에서 질주나 착지 중 낙상, 특정 근육의 집중적인 사용 등으로 인한 운동 손상 없이 안전하게 경기하며 사고 발생 시 신속하게 대처하도록 한다.</t>
  </si>
  <si>
    <t>[9체02-07]</t>
  </si>
  <si>
    <t>투기형 스포츠의 역사와 특성을 탐색하고 비교한다.</t>
  </si>
  <si>
    <t>[9체02-08]</t>
  </si>
  <si>
    <t>투기형 스포츠의 수행 원리를 적용하여 경기 기능을 수련하고 향상한다.</t>
  </si>
  <si>
    <t>[9체02-09]</t>
  </si>
  <si>
    <t>투기형 스포츠의 경기 방법을 이해하고 경기 전략을 상황에 맞게 활용하며 안전하게 경기한다.</t>
  </si>
  <si>
    <t>는 투기형 스포츠의 경기 방법을 이해하고, 상대 선수와 팀의 경기 능력, 시설 및 용⋅기구 등을 파악하여 공격과 방어에 적합한 경기 전략을 활용하기 위해 설정하였다. 투기형 스포츠 경기를 수행하며 상대의 기술에 맞서 겨루는 데 중점을 두고, 경기 과정에서 신체 접촉이나 타격 등으로 인한 운동 손상 없이 안전하게 경기하며 사고 발생 시 신속하게 대처하도록 한다.</t>
  </si>
  <si>
    <t>[9체02-10]</t>
  </si>
  <si>
    <t>영역형 스포츠의 역사와 특성을 탐색하고 비교한다.</t>
  </si>
  <si>
    <t>[9체02-11]</t>
  </si>
  <si>
    <t>영역형 스포츠의 수행 원리를 적용하여 경기 기능을 수행하고 향상한다.</t>
  </si>
  <si>
    <t>[9체02-12]</t>
  </si>
  <si>
    <t>영역형 스포츠의 경기 방법을 이해하고 경기 전략을 활용하며 안전하게 경기한다.</t>
  </si>
  <si>
    <t>는 영역형 스포츠의 경기 방법을 이해하고, 공격 및 수비 전략을 선수와 팀의 특성에 맞게 선택하여 경기 상황에서 팀원과 상호작용하며 상대의 영역에 침범하여 득점할 수 있는 전략을 활용하기 위해 설정하였다. 영역형 스포츠 경기를 수행하며 팀의 전략을 구상하는 데 중점을 두며, 경기 과정에서 상대와의 신체 접촉이나 충돌 등으로 인한 운동 손상 없이 안전하게 경기하며 사고 발생 시 신속하게 대처하도록 한다.</t>
  </si>
  <si>
    <t>[9체02-13]</t>
  </si>
  <si>
    <t>필드형 스포츠의 역사와 특성을 탐색하고 비교한다.</t>
  </si>
  <si>
    <t>[9체02-14]</t>
  </si>
  <si>
    <t>필드형 스포츠의 수행 원리를 적용하여 경기 기능을 수행하고 향상한다.</t>
  </si>
  <si>
    <t>[9체02-15]</t>
  </si>
  <si>
    <t>필드형 스포츠의 경기 방법을 이해하고 경기 전략을 활용하며 안전하게 경기한다.</t>
  </si>
  <si>
    <t>는 필드형 스포츠의 경기 방법을 이해하고, 공격 및 수비 전략을 선수와 팀의 특성에 맞게 선택하여 실제 경기 상황에서 팀원과 상호작용하며 공을 던지고 받거나 타격하여 득점할 수 있는 전략을 활용하기 위해 설정하였다. 필드형 스포츠 경기를 수행하며 공격과 수비 역할 수행에 중점을 두며, 경기 과정에서 상대와의 신체 접촉이나 용⋅기구와의 충돌 등으로 인한 운동 손상 없이 안전하게 경기하며 사고 발생 시 신속하게 대처하도록 한다.</t>
  </si>
  <si>
    <t>[9체02-16]</t>
  </si>
  <si>
    <t>네트형 스포츠의 역사와 특성을 탐색하고 비교한다.</t>
  </si>
  <si>
    <t>[9체02-17]</t>
  </si>
  <si>
    <t>네트형 스포츠의 수행 원리를 적용하여 경기 기능을 수행하고 향상한다.</t>
  </si>
  <si>
    <t>[9체02-18]</t>
  </si>
  <si>
    <t>네트형 스포츠의 경기 방법을 이해하고 경기 전략을 활용하며 안전하게 경기한다.</t>
  </si>
  <si>
    <t>은 네트형 스포츠의 경기 방법을 이해하고, 단식과 복식, 공격 및 수비 전환 시기 등의 경기 전략을 상황에 맞게 선택하여, 경기 상황에서 상대가 공을 받아넘기지 못하는 경기 전략을 활용하기 위해 설정하였다. 네트형 스포츠 경기를 수행하며 팀원과 호흡하여 공격과 수비를 빠르게 전환하는 데 중점을 두며, 경기 과정에서 구성원이나 용⋅기구와의 충돌, 점프와 착지 등으로 인한 운동 손상 없이 안전하게 경기하며 사고 발생 시 신속하게 대처하도록 한다.[9체02-19, 22]는 생태형(생활환경형, 자연환경형) 스포츠의 역사와 특성을 이해함으로써 주변 생활과 환경에서 즐길 수 있는 다양한 스포츠의 종목별 공통점과 차이점을 구분하기 위해 설정하였다. 생태형 스포츠 유형과 종목별로 유래와 변천 과정, 인물, 기록, 사건 등을 탐색하고, 유형별 경기 방법과 전략 등의 특성을 비교하고 분석하도록 한다.[9체02-20, 23]은 생태형(생활환경형, 자연환경형) 스포츠의 수행 원리를 적용하여 활동 기능을 생활환경 및 자연환경 조건에 적합하게 수행하기 위해 설정하였다. 스포츠의 기능을 다양한 생활공간과 기구를 활용하거나(생활환경형), 다양한 자연과 기후를 고려하여(자연환경형) 연습하면서 효율적으로 기능을 수행할 수 있도록 환경에 적응하며 발전시키도록 한다.</t>
  </si>
  <si>
    <t>[9체02-19]</t>
  </si>
  <si>
    <t>생활환경형 스포츠의 역사와 특성을 탐색하고 비교한다.</t>
  </si>
  <si>
    <t>[9체02-20]</t>
  </si>
  <si>
    <t>생활환경형 스포츠의 수행 원리를 적용하여 기능을 수행하고 향상한다.</t>
  </si>
  <si>
    <t>[9체02-21]</t>
  </si>
  <si>
    <t>생활환경형 스포츠의 활동 방법을 이해하고 활동 전략을 활용하며 안전하게 경기한다.</t>
  </si>
  <si>
    <t>생활환경형 스포츠의 활동 방법을 이해하고 활동 전략을 활용하며 안전하게 경기한다. 은 생활환경형 스포츠의 활동 방법을 이해하고 활동 상황에서 생활환경 조건을 고려한 활동 전략을 활용하기 위해 설정하였다. 가정, 집 주변, 지역사회 등의 생활환경에서 활동하며 공간, 시설 등의 환경 조건을 파악하는 데 중점을 둔다. 생활환경형 스포츠 실천 과정에서 물리적 환경에 대한 부적응, 환경의 불안정성 등으로 인한 운동 손상 없이 안전하게 활동하며 사고 발생 시 신속하게 대처하도록 한다.</t>
  </si>
  <si>
    <t>[9체02-22]</t>
  </si>
  <si>
    <t>자연환경형 스포츠의 역사와 특성을 탐색하고 비교한다.</t>
  </si>
  <si>
    <t>[9체02-23]</t>
  </si>
  <si>
    <t>자연환경형 스포츠의 수행 원리를 적용하여 기능을 수행하고 향상한다.</t>
  </si>
  <si>
    <t>[9체02-24]</t>
  </si>
  <si>
    <t>자연환경형 스포츠의 활동 방법을 이해하고 활동 전략을 활용하며 안전하게 경기한다.</t>
  </si>
  <si>
    <t>자연환경형 스포츠의 활동 방법을 이해하고 활동 전략을 활용하며 안전하게 경기한다. 는 자연환경형 스포츠의 활동 방법을 이해하고 활동 상황에서 자연환경과 생태 문화를 고려한 활동 전략을 활용하기 위해 설정하였다. 산, 강이나 바다, 하늘 등의 자연환경에서 활동하며 날씨, 장비 등의 환경 조건을 파악하는 데 중점을 둔다. 자연환경형 스포츠 실천 과정에서 기후나 자연환경의 변화, 용⋅기구의 불안정성 등으로 인한 운동 손상 없이 안전하게 활동하며 사고 발생 시 신속하게 대처하도록 한다.</t>
  </si>
  <si>
    <t>[9체02-25]</t>
  </si>
  <si>
    <t>스포츠의 연습과 경기 과정에서 인내심을 발휘하여 적극적으로 도전한다.</t>
  </si>
  <si>
    <t>스포츠의 연습과 경기 과정에서 인내심을 발휘하여 적극적으로 도전한다. 는 스포츠의 연습 및 경기 과정의 어려움을 극복함으로써 스포츠에 대한 도전 정신을 기르기 위해 설정하였다. 스포츠 유형별 기능의 연습 및 활동 과정에서 자신 혹은 공동으로 설정한 목표를 달성하기 위해 자기 주도적으로 참여하고 인내하며 한계를 극복하도록 한다.</t>
  </si>
  <si>
    <t>[9체02-26]</t>
  </si>
  <si>
    <t>스포츠의 연습과 경기 과정에서 구성원 간에 서로 신뢰하며 팀 목표를 달성하기 위해 노력하고 경기 예절을 갖추며 정정당당하게 참여한다.</t>
  </si>
  <si>
    <t>스포츠의 연습과 경기 과정에서 구성원 간에 서로 신뢰하며 팀 목표를 달성하기 위해 노력하고 경기 예절을 갖추며 정정당당하게 참여한다. 은 스포츠의 연습 및 경기 과정에서 서로 믿고 정정당당하게 최선을 다하며 도전적인 태도를 기르기 위해 설정하였다. 구성원을 존중하고 팀의 공동 목표를 위해 끝까지 노력하며, 경기에 대한 열정을 갖고 상대와 심판, 관중 앞에서 공정하고 품위 있게 경기하도록 한다.</t>
  </si>
  <si>
    <t>[9체02-27]</t>
  </si>
  <si>
    <t>스포츠 환경에 대한 친화적 태도와 지속가능한 스포츠 환경을 만들기 위한 공동체 의식을 발휘한다.</t>
  </si>
  <si>
    <t>스포츠 환경에 대한 친화적 태도와 지속가능한 스포츠 환경을 만들기 위한 공동체 의식을 발휘한다.[9체02-10, 13, 16]은 전략형(영역형, 필드형, 네트형) 스포츠의 역사와 특성을 이해함으로써 유형별 스포츠를 분류하고 종목별 공통점과 차이점을 구분하기 위해 설정하였다. 유형별 스포츠와 종목별로 유래와 변천 과정, 인물, 기록, 사건 등을 탐색하고, 경기 방법과 전략 등의 특성을 비교하고 분석하도록 한다.[9체02-11, 14, 17]은 전략형(영역형, 필드형, 네트형) 스포츠의 수행 원리를 적용하여 경기 기능을 효율적이고 안정적으로 수행하기 위해 설정하였다. 유형별 스포츠의 경기 기능을 다양하고 복합적으로 연계하여 연습하면서 효율적으로 경기 기능을 수행할 수 있도록 문제점을 발견하고 향상하도록 한다. 은 스포츠 환경에 대한 생태전환적 태도를 기르기 위해 설정하였다. 스포츠의 연습 및 활동 과정에서 여러 환경 문제를 인식하고 구성원과 함께 개선하려는 공동체 의식을 보이며, 스포츠 환경에 대한 친화적인 태도로 활동하도록 한다.</t>
  </si>
  <si>
    <t>[9체03-01]</t>
  </si>
  <si>
    <t>스포츠 표현의 역사와 특성을 탐색하고 비교한다.</t>
  </si>
  <si>
    <t>[9체03-02]</t>
  </si>
  <si>
    <t>스포츠 표현의 원리를 적용하여 동작을 심미적으로 표현한다.</t>
  </si>
  <si>
    <t>스포츠 표현의 원리를 적용하여 역동적이고 아름답게 동작을 표현하고 향상하도록 한다.</t>
  </si>
  <si>
    <t>[9체03-03]</t>
  </si>
  <si>
    <t>스포츠 표현의 특성과 원리를 반영한 작품을 창작하고 표현 요소를 고려하여 감상한다.</t>
  </si>
  <si>
    <t>은 스포츠 표현의 특성과 원리를 반영한 작품을 창작하고 체계적으로 감상하기 위해 설정하였다. 심미적 표현을 강조하는 스포츠 표현의 특성과 원리, 일련의 창작 과정을 고려하여 개인 또는 모둠별로 작품을 창작하고, 주제, 동작, 구성, 음악, 의상 등의 표현 요소를 고려하여 작품을 감상하도록 한다.</t>
  </si>
  <si>
    <t>[9체03-04]</t>
  </si>
  <si>
    <t>전통 표현의 역사와 특성을 탐색하고 비교한다.</t>
  </si>
  <si>
    <t>[9체03-05]</t>
  </si>
  <si>
    <t>전통 표현의 원리를 적용하여 동작을 심미적으로 표현한다.</t>
  </si>
  <si>
    <t>는 전통 표현의 원리를 적용하여 동작을 표현하기 위해 설정하였다. 전통 표현의 원리를 적용하여 자연스럽고 아름답게 동작을 표현하고 향상하도록 한다.</t>
  </si>
  <si>
    <t>[9체03-06]</t>
  </si>
  <si>
    <t>전통 표현의 특성과 원리를 반영한 작품을 창작하고 표현 요소를 고려하여 감상한다.</t>
  </si>
  <si>
    <t>은 전통 표현의 특성과 원리를 반영한 작품을 창작하고 체계적으로 감상하기 위해 설정하였다. 전형적 표현을 강조하는 전통 표현의 특성과 원리, 일련의 창작 과정을 고려하여 개인 또는 모둠별로 작품을 창작하고, 주제, 동작, 구성, 음악, 의상 등의 표현 요소를 고려하여 작품을 감상하도록 한다.</t>
  </si>
  <si>
    <t>[9체03-07]</t>
  </si>
  <si>
    <t>현대 표현의 역사와 특성을 탐색하고 비교한다.</t>
  </si>
  <si>
    <t>[9체03-08]</t>
  </si>
  <si>
    <t>현대 표현의 원리를 적용하여 동작을 심미적으로 표현한다.</t>
  </si>
  <si>
    <t>은 현대 표현의 원리를 적용하여 동작을 표현하기 위해 설정하였다. 현대 표현의 원리를 적용하여 자유롭고 아름답게 동작을 표현하고 향상하도록 한다.</t>
  </si>
  <si>
    <t>[9체03-09]</t>
  </si>
  <si>
    <t>현대 표현의 특성과 원리를 반영한 작품을 창작하고 표현 요소를 고려하여 감상한다.</t>
  </si>
  <si>
    <t>는 현대 표현의 특성과 원리를 반영한 작품을 창작하고 체계적으로 감상하기 위해 설정하였다. 창조적 표현을 강조하는 현대 표현의 특성과 원리, 일련의 창작 과정을 고려하여 개인 또는 모둠별로 작품을 창작하고, 주제, 동작, 구성, 음악, 의상 등의 표현 요소를 고려하여 작품을 감상하도록 한다.</t>
  </si>
  <si>
    <t>[9체03-10]</t>
  </si>
  <si>
    <t>움직임을 표현하고 창작하는 과정에서 독창적이고 개방적인 태도를 갖고 표현 활동 작품을 공감하고 비평한다.</t>
  </si>
  <si>
    <t>은 표현의 동작 수행, 창작, 감상의 전 과정을 통해 창의성과 비판적 능력을 기르기 위해 설정하였다. 동작 수행 및 창작 과정에서 독창성을 추구하고, 다양한 표현 문화를 수용하여, 작품 감상을 통해 예술적 표현에 대해 공감하고 비판적으로 바라보려는 태도를 함양하도록 한다.</t>
  </si>
  <si>
    <t>[12체육1-01-01]</t>
  </si>
  <si>
    <t>신체활동이 건강에 영향을 미치는 기전과 효과를 탐구한다.</t>
  </si>
  <si>
    <t>은 신체활동이 신체에 긍정적인 변화를 미치는 과정과 원리를 과학적으로 이해하여 신체활동의 필요성을 인식하고, 자기 주도적 건강 관리에 필요한 신체활동을 구안하기 위해 설정하였다. 이를 위해 신체활동이 건강에 영향을 미치는 기전과 효과를 사회과학적, 자연과학적 측면에서 구체적으로 이해하도록 한다.</t>
  </si>
  <si>
    <t>[12체육1-01-02]</t>
  </si>
  <si>
    <t>생애주기별 건강 관리 방법에 따라 건강을 체계적으로 관리하여 자아 존중감을 높인다.</t>
  </si>
  <si>
    <t>는 생애주기별 건강의 중요성을 이해하고 특히 청소년기 건강 관리에 필요한 다양한 지식을 습득하여 건강을 체계적으로 관리하기 위해 설정하였다. 이를 위해 청소년기에 필요한 질병 예방, 영양 균형, 약물 오남용 및 음주, 흡연 예방, 운동 등 건강 결정 요인과 신체활동을 폭넓게 이해하고 실천함으로써 자아 존중감을 갖도록 한다.</t>
  </si>
  <si>
    <t>[12체육1-01-03]</t>
  </si>
  <si>
    <t>건강 관리 측면에서 고려해야 할 다양한 안전 요소를 이해하고, 안전사고에 적절하게 대처한다.</t>
  </si>
  <si>
    <t>질병 예방, 영양 균형, 약물 오남용 및 음주, 흡연 예방, 운동 등 건강 관리 활동과 생활 안전 방법을 구체적인 사례를 통해 이해하고, 안전사고 유형에 따른 안전사고 대처요령을 습득하도록 한다.</t>
  </si>
  <si>
    <t>[12체육1-02-01]</t>
  </si>
  <si>
    <t>전략형 스포츠 문화의 개념과 특성을 탐색한다.</t>
  </si>
  <si>
    <t>은 다양한 유형의 전략형 스포츠를 탐색하는 과정을 통해 전략형 스포츠 문화의 보편성과 특수성을 이해하기 위해 설정하였다. 이를 위해 물질문화(시설, 장비 등), 제도문화(규범, 기술체계 등), 관념문화(목표, 가치 등) 등 스포츠 경기 문화 측면에서 영역형, 필드형, 네트형 스포츠 문화를 비교⋅분석하도록 한다.</t>
  </si>
  <si>
    <t>[12체육1-02-02]</t>
  </si>
  <si>
    <t>전략형 스포츠의 경기 기능을 과학적 원리에 따라 분석하고, 적극적으로 개선한다.</t>
  </si>
  <si>
    <t>패스, 드리블, 슛 등 전략형 스포츠 경기 기능 수행에 작용하는 사회과학적, 자연과학적 원리를 이해하고 이러한 원리를 바탕으로 경기 기능을 개선하도록 한다.</t>
  </si>
  <si>
    <t>[12체육1-02-03]</t>
  </si>
  <si>
    <t>전략형 스포츠의 경기 방법 및 전략을 이해하고, 경기 상황에 맞게 응용한다.</t>
  </si>
  <si>
    <t>은 전략형 스포츠의 경기 방법과 전략이 어떠한 맥락에서 형성되고 만들어졌는지 탐구하여 전략형 스포츠를 깊이 있게 이해하고 경기 상황에 적절하게 적용하기 위해 설정하였다. 이를 위해 영역형, 필드형, 네트형 스포츠 경기에서 직면하게 되는 다양한 문제 상황의 해결을 위한 경기 기능의 활용, 공을 가지고 있는 경우와 그렇지 않은 경우의 움직임, 공격과 수비 상황에서의 전략적 움직임 등을 이해하고 경기에 응용하도록 한다.</t>
  </si>
  <si>
    <t>[12체육1-03-01]</t>
  </si>
  <si>
    <t>생태형 스포츠 문화의 개념과 특성을 탐색하고, 스포츠 환경에 대한 생태 감수성을 실천한다.</t>
  </si>
  <si>
    <t>은 다양한 유형의 생태형 스포츠를 탐색하는 과정을 통해 생태형 스포츠 문화의 보편성과 특수성을 이해하고, 생태형 스포츠의 사회적 가치를 공유하며 실천하기 위해 설정하였다. 이를 위해 물질문화(시설, 장비 등), 제도문화(규범, 기술체계 등), 관념문화(목표, 가치 등) 등 스포츠 경기 문화 측면에서 생활환경형, 자연환경형 스포츠 문화를 비교⋅분석하고, 생태형 스포츠 경기에 참여하는 과정에서 자기 주변의 생태적 상황, 변화 및 그 의미를 민감하게 포착하고 이해하며 생태환경의 소중함을 알고 더불어 살아가는 태도를 실천하도록 한다.</t>
  </si>
  <si>
    <t>[12체육1-03-02]</t>
  </si>
  <si>
    <t>생태형 스포츠의 경기 기능을 과학적 원리에 따라 분석하고, 적극적으로 개선한다.</t>
  </si>
  <si>
    <t>생태형 스포츠 경기 기능 수행에 작용하는 사회과학적 원리, 자연과학적 원리를 이해하고 이러한 원리를 바탕으로 경기 기능을 개선하도록 한다.</t>
  </si>
  <si>
    <t>[12체육1-03-03]</t>
  </si>
  <si>
    <t>생태형 스포츠의 경기 방법 및 전략을 이해하고, 경기 상황에 맞게 응용한다.</t>
  </si>
  <si>
    <t>은 생태형 스포츠의 경기 방법과 전략이 어떠한 맥락에서 형성되고 만들어졌는지 탐구하여 생태형 스포츠를 깊이 있게 이해하고 경기 상황에 적절하게 적용하기 위해 설정하였다. 이를 위해 생활환경형, 자연환경형 스포츠 경기에서 직면하게 되는 다양한 문제 상황의 해결을 위한 경기 기능의 활용, 경기 상황에 따른 전략적 움직임, 경기 결과에 영향을 미치는 환경 조건 등을 이해하고 경기에 응용하도록 한다.</t>
  </si>
  <si>
    <t>[12체육2-01-01]</t>
  </si>
  <si>
    <t>체력 증진을 위한 과학적 원리와 특성을 이해하고, 체력 증진 운동에 적용한다.</t>
  </si>
  <si>
    <t>은 체력 증진 운동에 적용되는 원리들이 어떠한 과학적 지식을 바탕으로 구성된 것인지 이해하여 자기 주도적 체력 관리에 필요한 체력 증진 운동을 구안하기 위해 설정하였다. 이를 위해 과부하의 원리, 점진성의 원리, 개별성의 원리, 특수성의 원리, 전면성의 원리, 반복성의 원리 등 체력 증진 원리에 적용되는 사회과학적, 자연과학적 원리를 이해하고 체력 증진 운동에 활용하도록 한다.</t>
  </si>
  <si>
    <t>[12체육2-01-02]</t>
  </si>
  <si>
    <t>체력을 과학적으로 분석하고, 종합적 관리 방법에 따라 체력을 증진한다.</t>
  </si>
  <si>
    <t>는 자신의 체력 수준을 과학적 방법을 통해 평가하여 그에 따른 종합적 관리 방법을 구안하고 실천하기 위해 설정하였다. 이를 위해 심폐지구력, 근력, 유연성, 신체 구성, 순발력, 민첩성, 평형성 등 다양한 체력 요소의 과학적 측정과 분석 방법, 맞춤형 운동 처방, 식단, 생활 습관 등 체력을 종합적으로 관리하는 방법을 이해하고 체계적으로 실천하도록 한다.</t>
  </si>
  <si>
    <t>[12체육2-01-03]</t>
  </si>
  <si>
    <t>체력 증진 운동에서 안전의 중요성을 이해하고 체력 증진 운동 시 발생할 수 있는 신체 위기 상황에 침착하게 대처한다.</t>
  </si>
  <si>
    <t>체력 증진 운동 시 발생할 수 있는 심정지, 골절, 근육과 건 좌상, 염좌, 타박상 등 신체 위기 상황에 적절하게 대처하는 방법을 이해하고 실제 위기 상황에 침착하게 대처하도록 한다.</t>
  </si>
  <si>
    <t>[12체육2-02-01]</t>
  </si>
  <si>
    <t>기술형 스포츠 문화의 개념과 특성을 탐색하고, 지속적인 경기 참여를 통해 신체적 자기효능감을 높인다.</t>
  </si>
  <si>
    <t>은 다양한 유형의 기술형 스포츠를 탐색하는 과정을 통해 기술형 스포츠 문화의 보편성과 특수성을 이해하고, 기술형 스포츠의 가치를 실천하기 위해 설정하였다. 이를 위해 물질문화(시설, 장비 등), 제도문화(규범, 기술체계 등), 관념문화(목표, 가치 등) 등 스포츠 경기 문화 측면에서 동작형, 기록형, 투기형 스포츠 문화를 비교⋅분석하고, 기술형 스포츠 경기에 참여하는 과정에서 자신의 신체 능력 수준에 대한 기대와 신념을 높이도록 한다.</t>
  </si>
  <si>
    <t>[12체육2-02-02]</t>
  </si>
  <si>
    <t>기술형 스포츠의 경기 기능을 과학적 원리에 따라 분석한다.</t>
  </si>
  <si>
    <t>중심 이동, 도약, 회전 등 기술형 스포츠 경기 기능 수행에 작용하는 사회과학적, 자연과학적 원리를 이해하고 이러한 원리를 바탕으로 경기 기능을 개선하도록 한다.</t>
  </si>
  <si>
    <t>[12체육2-02-03]</t>
  </si>
  <si>
    <t>기술형 스포츠의 경기 방법 및 전략을 이해하고 경기 상황에 맞게 응용한다.</t>
  </si>
  <si>
    <t>은 기술형 스포츠의 경기 방법과 전략이 어떠한 맥락에서 형성되고 만들어졌는지 탐구하여 기술형 스포츠를 깊이 있게 이해하고 경기 상황에 적절하게 적용하기 위해 설정하였다. 이를 위해 자신의 기능 수준과 동작형, 기록형, 투기형 스포츠 경기에서 직면하게 되는 다양한 문제 상황의 해결을 위한 경기 기능의 활용, 경기 상황에 따른 전략적 움직임 등을 이해하고 경기에 응용하도록 한다.</t>
  </si>
  <si>
    <t>[12체육2-03-01]</t>
  </si>
  <si>
    <t>표현 활동 문화의 유형, 개념, 특성을 이해하고, 다양한 표현 활동 문화를 탐색한다.</t>
  </si>
  <si>
    <t>은 표현 활동의 문화를 포괄적으로 탐색하기 위해 설정하였다. 표현 활동 문화의 유형인 수행 문화, 공연 문화, 감상 문화의 개념과 특성을 이해하고, 표현 활동 문화의 유형별 공통점과 차이점을 발견하도록 한다.</t>
  </si>
  <si>
    <t>[12체육2-03-02]</t>
  </si>
  <si>
    <t>표현 활동의 미적 원리를 이해하고, 표현 동작을 심층적으로 분석하여 창의적으로 동작을 수행한다.</t>
  </si>
  <si>
    <t>는 표현 활동의 동작 및 미적 원리에 대한 이해를 바탕으로 동작을 분석하고 수행하기 위해 설정하였다. 동작 특성, 표현 특성 등의 표현 방법을 바탕으로 표현 동작의 수행을 심층적으로 분석하고, 통일미, 변화미, 조화미, 역동미 등의 미적 요소와 원리를 이해하고 이를 바탕으로 표현 동작을 심층적으로 분석하여 더욱 아름답고 창의적으로 동작을 수행하도록 한다.</t>
  </si>
  <si>
    <t>[12체육2-03-03]</t>
  </si>
  <si>
    <t>표현 주제에 맞게 창의적으로 작품을 창작하고 감상⋅비평함으로써 심미적 안목을 갖는다.</t>
  </si>
  <si>
    <t>은 표현 활동에 대한 깊이 있는 체험을 통해 작품을 창작하고 비평하기 위해 설정하였다. 개인 혹은 모둠이 관심사를 반영하여 설정한 주제에 맞게 창의적으로 동작을 만들고 구성하며, 자신 혹은 타인의 작품을 감상하고 비평하는 과정에서 아름다움을 발견하고 분별할 수 있는 식견을 갖도록 한다.</t>
  </si>
  <si>
    <t>[12운건01-01]</t>
  </si>
  <si>
    <t>운동이 신체적, 정신적 질환 예방과 사회적 건강에 미치는 효과를 파악하고, 운동의 목적과 자신의 수준에 적합한 건강 운동을 계획한다.</t>
  </si>
  <si>
    <t>은 건강에서 운동이 갖는 의미와 운동의 필요성을 명확하게 이해하고, 자기 주도적 건강 관리에 필요한 운동을 계획하기 위해 설정하였다. 운동이 건강에 미치는 효과를 뇌혈관질환, 심장질환, 대사질환, 불안증, 스트레스 등 다양한 질환의 예방과 건강한 인간관계 및 사회적 안녕 측면에서 구체적으로 이해하도록 한다.</t>
  </si>
  <si>
    <t>[12운건01-02]</t>
  </si>
  <si>
    <t>일일, 주간, 월간 건강 운동 프로그램을 계획하고 자기 주도적으로 실천하여 건강을 관리하고, 건강 관련 분야 진로를 설계한다.</t>
  </si>
  <si>
    <t>는 운동 목표에 따라 과학적 원리를 적용하여 운동 프로그램을 구안하여 실천하고, 건강 관련 분야 진로를 설계하기 위해 설정하였다. 자신의 수준에 맞게 운동 종류, 운동 강도, 운동 빈도, 운동 시간 등을 결정하여 하루, 일주일, 한 달 단위의 구체적인 운동 계획을 수립하여 실천하고, 건강 관련 분야 진로 정보를 수집하여 분석하며, 자기 적성에 맞는 진로 계획을 수립하여 건강 관련 분야 진로에서 요구되는 조건이나 자격을 갖출 수 있도록 진로를 설계하고 준비하도록 한다.[12운건01-03, 04]는 기술형 스포츠나 표현 활동이 건강에 미치는 효과를 이해하고, 운동 목표에 따라 자신에게 맞는 운동 프로그램을 실천하며 건강을 관리하기 위해 설정하였다. 자신의 운동 수준, 운동 환경, 운동 선호도 등을 고려하여 운동 종목을 선택하고, 운동 계획을 수립하여 실천함으로써 지속해서 건강을 관리하도록 한다.</t>
  </si>
  <si>
    <t>[12운건01-03]</t>
  </si>
  <si>
    <t>기술형 스포츠를 이용한 건강 관리 방법을 탐색하고, 일상에서 실천하며 생활화한다.</t>
  </si>
  <si>
    <t>[12운건01-04]</t>
  </si>
  <si>
    <t>표현 활동을 이용한 건강 관리 방법을 탐색하고, 일상에서 실천하며 생활화한다.</t>
  </si>
  <si>
    <t>[12운건02-01]</t>
  </si>
  <si>
    <t>운동 처방에 따른 트레이닝의 종류와 방법을 이해하여 체력 증진을 위한 트레이닝 프로그램을 계획하고 체력 운동에 적용하며 자기 주도적으로 체력을 관리한다.</t>
  </si>
  <si>
    <t>은 운동 처방에서 트레이닝의 효과와 중요성을 이해하고 관련 지식을 습득하여 자기 주도적으로 체력을 관리하기 위해 설정하였다. 인터벌 트레이닝, 서킷 트레이닝, 웨이트 트레이닝, 아이소메트릭 트레이닝, 스트레칭 등 체력 요소별 트레이닝 방법과 운동 목적에 따라 다양한 트레이닝 방법을 혼합하는 트레이닝 프로그램 구성 방법을 이해하고 이를 바탕으로 트레이닝 프로그램을 계획하고 체력 운동에 적용하여 체력을 관리하도록 한다.</t>
  </si>
  <si>
    <t>[12운건02-02]</t>
  </si>
  <si>
    <t>운동 손상의 원인과 기전을 이해하고, 적절한 응급처치와 재활 운동을 통해 운동 손상을 관리한다.</t>
  </si>
  <si>
    <t>는 운동 과정에서 발생할 수 있는 운동 손상에 대한 이해를 바탕으로 안전하게 운동하기 위해 설정하였다. 체력 증진 트레이닝 과정에서 발생할 수 있는 외상성 부상과 과사용 부상의 원인과 발생 기전을 이해하고, 상해의 종류에 따른 적절한 응급처치 방법과 재활 운동 방법을 통해 운동 손상을 관리하도록 한다.</t>
  </si>
  <si>
    <t>[12스문01-01]</t>
  </si>
  <si>
    <t>스포츠 인문 문화의 개념 및 특성을 이해하고, 스포츠 대회에 다양한 방식으로 참여한다.</t>
  </si>
  <si>
    <t>은 스포츠 경기에 직접 참여하는 방식과 다양한 인문 문화의 서사적 접근을 통한 간접 참여 방식의 중요성과 가치를 인식하기 위해 설정하였다. 스포츠를 매개로 하는 다양한 인문 문화(시, 소설, 수필, 희곡, 영화, 음악, 미술, 건축, 종교, 역사, 철학 등)에 대해 이해하고 창작⋅비평하며, 스포츠 경기를 수행하도록 한다.</t>
  </si>
  <si>
    <t>[12스문01-02]</t>
  </si>
  <si>
    <t>스포츠의 역사와 철학을 탐구하고, 스포츠의 문화를 비판적으로 분석한다.</t>
  </si>
  <si>
    <t>는 스포츠의 역사와 철학의 탐구과정에서 올바른 스포츠 역사의식과 스포츠의 가치를 인식하는 능력을 기르기 위해 설정하였다. 스포츠의 역사(유래, 변천, 경기 유형, 인물, 기록, 사건 등)와 스포츠 철학(스포츠 윤리, 스포츠의 관례⋅의식 등)에 대해 깊이 있게 탐구하고, 스포츠 역사와 철학에 관련된 문화에 대한 가치 판단을 통해 스포츠 현상의 긍정적인 측면과 부정적인 측면을 이해하도록 한다.</t>
  </si>
  <si>
    <t>[12스문01-03]</t>
  </si>
  <si>
    <t>스포츠를 주제로 한 다양한 문학과 예술을 비교⋅분석하고, 스포츠 인문 문화 분야 진로를 설계한다.</t>
  </si>
  <si>
    <t>은 스포츠와 관련된 문학과 예술 분야에 대한 가치를 인식하고 스포츠 문화를 향유하며, 스포츠 인문 문화 분야 진로를 설계하기 위해 설정하였다. 스포츠 경험으로 창출된 시, 소설, 희곡, 수필 등과 같은 스포츠 문학과 음악, 연극, 영화, 회화, 조각 등과 같은 스포츠 예술 분야의 공통점과 차이점, 유사점을 발견하고, 서사적 형태의 스포츠 문학과 예술 고유의 가치를 명확하게 인식하도록 한다. 또한 스포츠 인문 문화 분야 진로 정보를 수집하여 분석하고, 자기 적성에 맞는 진로 계획을 수립하여 스포츠 인문 문화 분야 진로에서 요구되는 조건이나 자격을 갖출 수 있도록 진로를 설계하고 준비하도록 한다.</t>
  </si>
  <si>
    <t>[12스문02-01]</t>
  </si>
  <si>
    <t>스포츠 경기 문화의 개념 및 특성을 이해하고, 스포츠 대회에 다양한 역할로 참여한다.</t>
  </si>
  <si>
    <t>은 스포츠 경기 문화의 개념과 특성을 이해함으로써 경기 참여 이외의 다양한 역할로 스포츠 대회에 참가하는 것의 중요성을 인식하기 위해 설정하였다. 운동 기능이 발전하여 성립한 스포츠 경기 문화(장비, 기술체계, 규범, 사상과 이념, 제도와 조직 등)에 대해 이해하고, 형식을 갖춘 스포츠 대회에 적극적으로 참가하는 태도와 스포츠 경기를 수행하도록 한다.</t>
  </si>
  <si>
    <t>[12스문02-02]</t>
  </si>
  <si>
    <t>스포츠 경기 문화의 구성 체계 및 방법에 따라 스포츠 대회를 기획하고 운영하며, 스포츠 경기 문화 분야 진로를 설계한다.</t>
  </si>
  <si>
    <t>는 스포츠 경기 문화의 구성체계를 적합하게 반영하여 스포츠 대회를 기획하고 운영하며, 스포츠 경기 문화 분야 진로를 설계하기 위해 설정하였다. 물질문화(장비, 경기 용구 등), 제도문화(규범, 기술체계 등), 관념문화(목표, 가치 등)로 이루어진 스포츠 경기 문화의 구성체계를 이해하고, 제도와 조직(경기 구성원의 역할, 경기 절차, 운영 방법, 경기 단체 등)을 갖춘 스포츠 대회를 기획하고 운영한다. 또한 스포츠 경기 문화 분야에 관한 진로 정보를 수집하여 분석하고, 자기 적성에 맞는 진로 계획을 수립하여 스포츠 경기 문화 분야 진로에서 요구되는 조건이나 자격을 갖출 수 있도록 진로를 설계하고 준비하도록 한다.</t>
  </si>
  <si>
    <t>[12스문02-03]</t>
  </si>
  <si>
    <t>스포츠 경기 문화의 가치를 이해하고, 스포츠 경기 문화를 다양한 분야와 접목한다.</t>
  </si>
  <si>
    <t>은 스포츠 경기 문화가 타 분야와 융합하여 새로운 스포츠 문화를 창출할 수 있음을 인식하도록 설정하였다. 스포츠 경기 문화는 스포츠 참여의 다양성, 지역 및 국가적 스포츠 문화의 발전, 나아가 인종⋅언어⋅국경을 초월한 보편적 가치를 지니고 있음을 이해하고, 미래 스포츠 문화의 발전을 위해 스포츠 경기 문화를 인문, 사회, 과학 등 다양한 분야와 접목하는 확산적 사고를 갖도록 한다.</t>
  </si>
  <si>
    <t>[12스과01-01]</t>
  </si>
  <si>
    <t>스포츠와 사회과학의 관계를 이해하고, 스포츠 현상을 분석한 심리⋅사회학적 이론을 탐구하며, 스포츠 사회과학 분야 진로를 설계한다.</t>
  </si>
  <si>
    <t>은 심리학, 사회학 등 사회과학과 스포츠의 관계를 탐색함으로써 스포츠 사회과학의 기능과 역할의 중요성을 이해하고, 스포츠 사회과학 분야 진로를 설계하도록 설정하였다. 심리적 요인이 스포츠 행동에 미치는 영향, 스포츠 현상과 사회학적 이론 및 방법의 관계 등 다양한 측면을 탐구하며, 스포츠 사회과학 분야 진로 정보를 분석하고 자기 적성에 맞는 진로 계획을 수립하여 스포츠 사회과학 분야 진로에서 요구되는 조건이나 자격을 갖출 수 있도록 진로를 설계하고 준비하도록 한다.</t>
  </si>
  <si>
    <t>[12스과01-02]</t>
  </si>
  <si>
    <t>스포츠 경기 활동에 참여하며, 심리⋅사회학적 이론의 적용 가능성을 탐색하고 경기 상황에 적용한다.</t>
  </si>
  <si>
    <t>는 실제 스포츠 참여 과정에서 나타나는 심리⋅사회학적 현상과 원리를 발견하고, 이를 스포츠 수행 능력 향상에 적용하기 위해 설정하였다. 다양한 유형의 스포츠 경기 참여 과정에서 심리학적 요인(성격, 불안, 동기, 귀인이론, 목표 설정, 주의집중, 사회적 태만, 리더십, 응집력, 심상 훈련, 슬럼프 등)과 사회학적 현상(스포츠와 정치, 경제, 교육, 미디어, 계층, 사회문제 등)을 탐색하고 스포츠 경기 상황에 적합하게 적용하도록 한다.</t>
  </si>
  <si>
    <t>[12스과01-03]</t>
  </si>
  <si>
    <t>스포츠와 심리⋅사회학적 이론을 융합하는 태도와 과학적 안목을 발휘한다.</t>
  </si>
  <si>
    <t>은 스포츠 참여자 개인의 심리적 특성(유전적, 상황적, 집단적 특성, 운동 기능 학습 등)과 사회적 측면(정치, 경제, 교육, 미디어, 계층, 사회문제와 스포츠의 관계 등)을 객관적으로 분석하고, 스포츠와 사회과학과의 관계를 융합하는 태도와 스포츠에 대한 과학적 안목을 넓히도록 한다.</t>
  </si>
  <si>
    <t>[12스과02-01]</t>
  </si>
  <si>
    <t>스포츠와 자연과학의 관계를 이해하고, 스포츠 현상을 분석한 생리⋅역학적 이론을 탐구하며, 스포츠 자연과학 분야의 진로를 설계한다.</t>
  </si>
  <si>
    <t>은 자연과학과 스포츠의 관계를 이해함으로써 스포츠 자연과학의 기능과 역할의 중요성을 이해하고, 스포츠 자연과학 분야 진로를 설계하기 위해 설정하였다. 생리학, 물리학 등 자연과학과 스포츠의 관계를 이해하고, 스포츠 활동으로 나타나는 인체의 기능적 변화에 대한 법칙, 스포츠 활동 중 인체에 작용하는 여러 가지 힘과 관련된 법칙을 다양한 사례 중심으로 분석하며, 스포츠 자연과학 분야 진로 정보를 분석하고, 자기 적성에 맞는 진로 계획을 수립하여 스포츠 자연과학 분야 진로에서 요구되는 조건이나 자격을 갖출 수 있도록 진로를 설계하고 준비하도록 한다.</t>
  </si>
  <si>
    <t>[12스과02-02]</t>
  </si>
  <si>
    <t>스포츠 경기 활동에 참여하여 생리⋅역학적 이론의 적용 가능성을 탐색하고 경기 상황에 적용한다.</t>
  </si>
  <si>
    <t>는 스포츠 참여 과정에서 나타나는 생리⋅역학적 현상과 원리를 발견하고, 이를 스포츠 수행 능력 향상에 적용하기 위해 설정하였다. 다양한 유형의 스포츠 경기 참여 과정에서 생리학적 변화(스포츠를 통한 근육, 신경, 호흡, 순환계, 에너지대사 등)와 역학적 원리(인체에 작용하는 힘, 운동의 법칙, 운동에너지, 지레의 작용, 무게중심 등)를 탐색하고 스포츠 경기 상황에 적합하게 적용하도록 한다.</t>
  </si>
  <si>
    <t>[12스과02-03]</t>
  </si>
  <si>
    <t>스포츠와 생리⋅역학적 이론을 융합하는 태도와 과학적 안목을 발휘한다.</t>
  </si>
  <si>
    <t>은 스포츠를 통한 신체의 생리학적 변화(근육, 신경, 호흡, 순환계, 에너지대사 등)와 스포츠를 수행할 때 작용하는 역학적 측면(힘의 개념, 힘의 작용, 힘의 종류, 운동의 법칙, 운동의 형태, 운동에너지, 인체 움직임의 물리적 관계 등)을 객관적으로 분석하고, 스포츠와 자연과학과의 관계를 융합하는 태도와 스포츠에 대한 과학적 안목을 넓히도록 한다.</t>
  </si>
  <si>
    <t>[12스생1-01-01]</t>
  </si>
  <si>
    <t>영역형 스포츠의 문화를 이해하고 존중하며, 스포츠퍼슨십을 실천한다.</t>
  </si>
  <si>
    <t>축구, 농구, 핸드볼 등 영역형 스포츠를 경기 문화와 축제 문화 측면에서 깊이 있게 이해하고, 이를 바탕으로 영역형 스포츠 경기에 공정하게 임하고 상대와 심판, 관중을 향해 예의를 갖추며 승패를 떠나 결과에 승복하는 태도를 실천하도록 한다.</t>
  </si>
  <si>
    <t>[12스생1-01-02]</t>
  </si>
  <si>
    <t>영역형 스포츠에 필요한 체력을 강화하고, 경기 기능을 과학적으로 분석하여 발전시켜 다른 기능에 전이한다.</t>
  </si>
  <si>
    <t>영역형 스포츠에 필요한 체력을 강화하고, 경기 기능 수행에 작용하는 사회과학적, 자연과학적 원리를 이해하며 이러한 원리를 바탕으로 경기 기능을 발전시켜 다른 기능의 학습에 긍정적인 영향을 미치도록 한다.</t>
  </si>
  <si>
    <t>[12스생1-01-03]</t>
  </si>
  <si>
    <t>영역형 스포츠의 경기 수행 능력을 고도화하여 스포츠 수행에 대한 유능감을 높이고, 경기 전략을 창의적으로 발전시킨다.</t>
  </si>
  <si>
    <t>은 경기 기능의 숙달, 과학적 원리의 적용, 경기 전략의 이해를 통해 경기 수행 능력을 고도화하고 영역형 스포츠 수행에 대한 유능감을 높여 영역형 스포츠를 생활화하기 위해 설정하였다. 영역형 스포츠 경기에서 직면하게 되는 다양한 문제 상황을 해결하기 위한 경기 기능의 활용, 공을 소유하고 있는 경우와 그렇지 않은 경우의 움직임, 공격과 수비 상황에서의 전략적 움직임 등을 이해하여 경기 수행 능력을 고도화하고, 이를 바탕으로 창의적인 경기 전략을 활용하여 경기를 수행하도록 한다.</t>
  </si>
  <si>
    <t>[12스생1-02-01]</t>
  </si>
  <si>
    <t>생활⋅자연환경형 스포츠의 문화를 이해하고 존중하며, 환경친화적 태도를 실천한다.</t>
  </si>
  <si>
    <t>생활⋅자연환경형 스포츠를 경기 문화와 축제 문화 측면에서 깊이 있게 이해하고, 이를 바탕으로 생활⋅자연환경형 스포츠 경기에 참여하는 과정에서 자신의 활동이 주변 환경에 미치는 영향을 생각하고, 환경을 오염시키지 않고 환경과 어울려 활동하는 태도를 실천하도록 한다.</t>
  </si>
  <si>
    <t>[12스생1-02-02]</t>
  </si>
  <si>
    <t>생활⋅자연환경형 스포츠에 필요한 체력을 강화하고, 경기 기능을 과학적으로 분석하여 발전시켜 다른 기능에 전이한다.</t>
  </si>
  <si>
    <t>생활⋅자연환경형 스포츠에 필요한 체력을 강화하고, 생활⋅자연환경형 스포츠 경기 기능 수행에 작용하는 사회과학적, 자연과학적 원리를 이해하며 이러한 원리를 바탕으로 경기 기능을 개선하도록 한다.</t>
  </si>
  <si>
    <t>[12스생1-02-03]</t>
  </si>
  <si>
    <t>생활⋅자연환경형 스포츠의 경기 수행 능력을 고도화하여 스포츠 수행에 대한 유능감을 높이고, 경기 전략을 창의적으로 발전시킨다.</t>
  </si>
  <si>
    <t>은 경기 기능의 숙달, 과학적 원리의 적용, 경기 전략의 이해 등을 통해 경기 수행 능력을 고도화하고 생활⋅자연환경형 스포츠 수행에 대한 유능감을 높여 생활⋅자연환경형 스포츠를 생활화하기 위해 설정하였다. 생활⋅자연환경형 스포츠 경기에서 직면하게 되는 다양한 문제 상황을 해결하기 위한 경기 기능의 활용, 상황에 따른 전략적 움직임, 경기 결과에 영향을 미치는 환경 조건을 이해하여 경기 수행 능력을 고도화하고, 이를 바탕으로 창의적인 경기 전략을 활용하여 경기를 수행하도록 한다.</t>
  </si>
  <si>
    <t>[12스생2-01-01]</t>
  </si>
  <si>
    <t>네트형 스포츠의 문화를 이해하고 존중하며, 스포츠퍼슨십을 실천한다.</t>
  </si>
  <si>
    <t>네트형 스포츠를 경기 문화와 축제 문화 측면에서 깊이 있게 이해하고, 이를 바탕으로 네트형 스포츠 경기에 공정하게 임하고 상대와 심판, 관중을 향해 예의를 갖추며 승패를 떠나 결과에 승복하는 태도를 실천하도록 한다.</t>
  </si>
  <si>
    <t>[12스생2-01-02]</t>
  </si>
  <si>
    <t>네트형 스포츠에 필요한 체력을 강화하고, 경기 기능을 과학적으로 분석하여 발전시켜 다른 기능에 전이한다.</t>
  </si>
  <si>
    <t>네트형 스포츠에 필요한 체력을 강화하고, 경기 기능 수행에 작용하는 사회과학적, 자연과학적 원리를 이해하며 이러한 원리를 바탕으로 경기 기능을 발전시켜 다른 기능의 학습에 긍정적인 영향을 미치도록 한다.</t>
  </si>
  <si>
    <t>[12스생2-01-03]</t>
  </si>
  <si>
    <t>네트형 스포츠의 경기 수행 능력을 고도화하여 스포츠 수행에 대한 유능감을 높이고, 경기 전략을 창의적으로 발전시킨다.</t>
  </si>
  <si>
    <t>은 경기 기능의 숙달, 과학적 원리의 적용, 경기 전략의 이해를 통해 경기 수행 능력을 고도화하고 네트형 스포츠 수행에 대한 유능감을 높여 네트형 스포츠를 생활화하기 위해 설정하였다. 배구, 탁구, 배드민턴 등 네트형 스포츠 경기에서 직면하게 되는 다양한 문제 상황을 해결하기 위한 경기 기능의 활용, 공을 직접 처리하는 경우와 그렇지 않은 경우의 움직임, 공격과 수비 상황에서의 전략적 움직임 등을 이해하여 경기 수행 능력을 고도화하고, 이를 바탕으로 창의적인 경기 전략을 활용하여 경기를 수행하도록 한다.</t>
  </si>
  <si>
    <t>[12스생2-02-01]</t>
  </si>
  <si>
    <t>필드형 스포츠의 문화를 이해하고 존중하며, 스포츠퍼슨십을 실천한다.</t>
  </si>
  <si>
    <t>필드형 스포츠를 경기 문화와 축제 문화 측면에서 깊이 있게 이해하고, 이를 바탕으로 필드형 스포츠 경기에 공정하게 임하고 상대와 심판, 관중을 향해 예의를 갖추며 승패를 떠나 결과에 승복하는 태도를 실천하도록 한다.</t>
  </si>
  <si>
    <t>[12스생2-02-02]</t>
  </si>
  <si>
    <t>필드형 스포츠에 필요한 체력을 강화하고, 경기 기능을 과학적으로 분석하여 발전시켜 다른 기능에 전이한다.</t>
  </si>
  <si>
    <t>필드형 스포츠에 필요한 체력을 강화하고, 경기 기능 수행에 작용하는 사회과학적, 자연과학적 원리를 이해하며 이러한 원리를 바탕으로 경기 기능을 발전시켜 다른 기능의 학습에 긍정적인 영향을 미치도록 한다.</t>
  </si>
  <si>
    <t>[12스생2-02-03]</t>
  </si>
  <si>
    <t>필드형 스포츠의 경기 수행 능력을 고도화하여 스포츠 수행에 대한 유능감을 높이고, 경기 전략을 창의적으로 발전시킨다.</t>
  </si>
  <si>
    <t>은 경기 기능의 숙달, 과학적 원리의 적용, 경기 전략의 이해를 통해 경기 수행 능력을 고도화하고 필드형 스포츠 수행에 대한 유능감을 높여 필드형 스포츠를 생활화하기 위해 설정하였다. 필드형 스포츠 경기에서 직면하게 되는 다양한 문제 상황의 해결을 위한 경기 기능의 활용, 공을 직접 처리하는 경우와 그렇지 않은 경우의 움직임, 공격과 수비 상황에서의 전략적 움직임 등을 이해하여 경기 수행 능력을 고도화하고, 이를 바탕으로 창의적인 경기 전략을 활용하여 경기를 수행하도록 한다.</t>
  </si>
  <si>
    <t>[9음01-01]</t>
  </si>
  <si>
    <t>다양한 주법과 표현 기법을 향상시켜 노래나 악기로 개성 있게 연주한다.</t>
  </si>
  <si>
    <t>이 성취기준은 노래 부르기와 악기 연주의 음악 표현 활동을 위한 기능을 보다 확장 및 향상시키기 위해 설정하였다. 목소리와 악기의 다양한 주법이나 국악, 서양음악, 대중음악, 세계음악 등 음악 고유의 표현 기법을 익히고 향상시켜 아름답고 풍부한 소리로 개성 있게 연주하도록 한다. 또한 자신의 연주 역량을 향상시키기 위하여 스스로 연습하고 그 과정을 주도적으로 관리하는 태도를 형성하는 데 중점을 둔다.</t>
  </si>
  <si>
    <t>[9음01-02]</t>
  </si>
  <si>
    <t>음악 요소와 음악적 특징을 살려 노래나 악기로 발표하고 평한다.</t>
  </si>
  <si>
    <t>이 성취기준은 악곡의 다양한 음악 요소와 음악적 특징을 파악하여 노래나 악기 연주 활동에 적용하도록 하기 위해 설정하였다. 악곡에서 드러나는 특성들을 살려 연주하고, 나아가 자신들의 연주 활동을 돌아보며 다양한 관점에서 서로 평해 봄으로써 공동체 속에서 음악으로 소통하는 데 중점을 둔다.</t>
  </si>
  <si>
    <t>[9음01-03]</t>
  </si>
  <si>
    <t>소리의 상호작용을 인식하고 매체를 활용하여 함께 표현한다.</t>
  </si>
  <si>
    <t>이 성취기준은 다양한 양상으로 나타나는 소리의 상호작용을 이해하고 함께 하는 음악 표현의 즐거움을 경험하도록 하기 위해 설정하였다. 목소리, 악기, 신체, 물체, 가상 악기 등 연주에 사용되는 다양한 매체를 활용하여 여러 양상으로 나타나는 소리의 어울림을 이해하고, 이를 바탕으로 다른 사람과 함께 연주 활동을 해봄으로써 협력적 음악 표현을 경험할 수 있도록 하는 데 중점을 둔다.</t>
  </si>
  <si>
    <t>[9음01-04]</t>
  </si>
  <si>
    <t>생활 속 다양한 형태의 연주에 참여하고 전통과 현대의 연주 문화 다양성을 인식한다.</t>
  </si>
  <si>
    <t>이 성취기준은 학생들이 생활 속 연주 활동에 주도적으로 참여하여 다양한 연주 문화를 인식하도록 하기 위하여 설정하였다. 학교, 마을, 지역의 행사나 축제에 온⋅오프라인 네트워크를 활용하여 다양한 형태의 연주를 계획하거나 참여할 수 있도록 한다. 이를 통해 국악, 서양음악, 대중음악, 세계음악 등 전통에서 현대까지 다양하게 변화⋅발전하는 연주 문화를 인식하고 생활 속에서 주도적으로 음악 활동에 참여하는 태도를 기르는 데 중점을 둔다.</t>
  </si>
  <si>
    <t>[9음02-01]</t>
  </si>
  <si>
    <t>음악을 듣고 다양한 음악 요소에 집중하여 분석한다.</t>
  </si>
  <si>
    <t>이 성취기준은 감상곡에 포함된 다양한 음악 요소 분석을 통해 악곡을 이해하는 능력을 함양하도록 하기 위해 설정하였다. 악곡 감상을 통해 음악 요소들이 음악으로 구현된 양상을 찾아내고 이를 여러 가지 방법으로 설명하거나 표현하도록 하는 데 중점을 둔다.</t>
  </si>
  <si>
    <t>[9음02-02]</t>
  </si>
  <si>
    <t>다양한 시대와 문화권의 음악을 듣고 음악적 특징과 음악의 구성을 파악한다.</t>
  </si>
  <si>
    <t>이 성취기준은 감상곡의 음악 내적 특징과 악곡의 전반적인 구성을 인식하고 파악하는 능력을 기르도록 하기 위해 설정하였다. 다양한 종류의 음악을 듣고 시대별⋅문화권별 음악의 특징과 전반적 구성을 설명하거나 표현하는 데 중점을 둔다.</t>
  </si>
  <si>
    <t>[9음02-03]</t>
  </si>
  <si>
    <t>다양한 시대⋅사회⋅문화권의 음악을 듣고 음악의 배경과 역할을 비교한다.</t>
  </si>
  <si>
    <t>이 성취기준은 다양한 시대, 사회, 문화권을 기반으로 한 음악의 외적 배경과 역할을 이해하여 음악 감상 활동과 연계하는 능력을 기르도록 하기 위해 설정하였다. 음악의 다양한 활용이나 배경을 시대⋅사회⋅문화적 맥락에서 조사하여 비교함으로써, 사회⋅문화 속에서 음악이 갖는 다양한 의미와 역할 등을 파악하는 데 중점을 둔다.</t>
  </si>
  <si>
    <t>[9음02-04]</t>
  </si>
  <si>
    <t>생활 속에서 음악을 들으며 다양한 감성과 가치를 인식하고 존중한다.</t>
  </si>
  <si>
    <t>이 성취기준은 생활 속 다양한 음악 감상 활동을 통해 음악적 감수성을 기르고 이를 내면화⋅가치화하는 태도를 형성하도록 하기 위해 설정하였다. 여러 매체를 활용하여 생활 속에서 음악을 찾아 들으며 다양한 느낌과 정서를 경험하고 이를 공유함으로써 음악에 대한 서로 다른 감성과 가치를 인식하고 존중하는 데 중점을 둔다.</t>
  </si>
  <si>
    <t>[9음02-05]</t>
  </si>
  <si>
    <t>유네스코에 등재된 우리나라의 음악 문화유산을 찾아 듣고, 세계 속 국악의 위상과 문화적 가치를 인식한다.</t>
  </si>
  <si>
    <t>이 성취기준은 유네스코에 등재된 음악 문화유산을 찾아 들어보고, 세계 속 국악의 문화적 가치를 인식하도록 하기 위해 설정하였다. 유네스코 무형문화유산으로 등재된 국악을 경험하고 우리 전통문화의 고유성을 이해하며, 국악이 지닌 문화적 가치와 세계 속의 국악의 위상을 인식하도록 하는 데 중점을 둔다.</t>
  </si>
  <si>
    <t>[9음03-01]</t>
  </si>
  <si>
    <t>음악적 의도나 아이디어를 여러 매체나 방법에 적용하여 자기 주도적으로 창작한다.</t>
  </si>
  <si>
    <t>이 성취기준은 음악적 의도나 아이디어를 독창적으로 사고하고 자유롭게 발산하는 능력을 기르도록 하기 위해 설정하였다. 음악의 소재나 주제에 따라 아이디어를 떠올려 보고, 창작에 사용되는 다양한 매체를 활용하여 노래나 연주, 신체표현 등 자신이 표현하고자 하는 방식으로 나타낼 수 있도록 주도적으로 계획하고 창작하도록 하는 데 중점을 둔다.</t>
  </si>
  <si>
    <t>[9음03-02]</t>
  </si>
  <si>
    <t>오선보, 정간보 등의 기보법을 활용하여 조건에 따라 악곡의 일부를 바꾼다.</t>
  </si>
  <si>
    <t>이 성취기준은 다양한 기보법에 대한 이해를 바탕으로 음악 창작 능력을 기르도록 하기 위해 설정하였다. 음악 표현과 소통을 위한 기보의 필요성을 인식하고, 오선보나 정간보 등 기존의 기보법과 앱이나 프로그램 등 다양한 소프트웨어를 활용하여 음악 요소나 주제 등의 조건에 따라 악곡의 일부를 변형하며 새롭게 만들어보는 데 중점을 둔다.</t>
  </si>
  <si>
    <t>[9음03-03]</t>
  </si>
  <si>
    <t>음악의 요소와 특징을 활용하여 간단한 형식의 음악을 만든다.</t>
  </si>
  <si>
    <t>이 성취기준은 창작에 필요한 음악 요소를 활용하여 자신이 의도한 음악적 특징이 드러나도록 국악, 서양음악, 대중음악 등 간단한 형식의 음악으로 표현하는 능력을 기르도록 하기 위해 설정하였다. 혼자 또는 여럿이 창작 의도에 따라 음악 요소를 선택하고 구조화하여 간단한 형식의 음악을 만들어 공유함으로써 음악으로 소통하는 태도를 기르는 데 중점을 둔다.</t>
  </si>
  <si>
    <t>[9음03-04]</t>
  </si>
  <si>
    <t>생활 속의 영역과 연계하여 음악을 만들고 활용하며 책임감을 갖는다.</t>
  </si>
  <si>
    <t>이 성취기준은 생활 속의 다양한 영역 및 타 교과와 연계하여 음악 산출물을 주체적으로 만들고 활용하며 창작과 관련된 윤리 의식과 책임감을 기르도록 하기 위해 설정하였다. 실생활과 관련된 음악 영상이나 음악극 등 여러 형태의 음악을 창작하고 활용하며 다양한 분야를 경험하도록 한다. 또한 음악 창작에서 저작권의 중요성과 필요성을 인식하여 자신과 타인의 음악 산출물에 대한 책임감 있는 태도를 형성함으로써 서로의 음악을 존중하고 소통하도록 하는 데 중점을 둔다.</t>
  </si>
  <si>
    <t>[12음01-01]</t>
  </si>
  <si>
    <t>다양한 주법과 표현 기법을 심화시켜 노래나 악기로 개성 있게 연주한다.</t>
  </si>
  <si>
    <t>이 성취기준은 노래나 악기 연주하기의 음악 표현 활동을 위한 기능을 보다 심화시키기 위해 설정하였다. 목소리와 악기의 다양한 주법이나 국악, 서양음악, 대중음악, 세계음악 등 음악 고유의 표현 기법을 심화시키고, 나아가 자신의 표현을 살려 개성 있게 연주하도록 한다. 또한 자신의 연주를 심화하기 위하여 스스로 연습하고 그 과정을 주도적으로 관리하는 태도를 형성하는 데 중점을 둔다.</t>
  </si>
  <si>
    <t>[12음01-02]</t>
  </si>
  <si>
    <t>음악 요소와 음악적 특징의 변화를 살려 노래나 악기로 발표하고 비평한다.</t>
  </si>
  <si>
    <t>이 성취기준은 악곡의 다양한 음악 요소와 음악적 특징의 변화를 파악하여 노래나 악기 연주 활동에 적용하도록 하기 위해 설정하였다. 다양한 시대와 문화권의 악곡에서 드러나는 특성들을 살려 연주하고, 나아가 자신들의 연주 활동을 다양한 관점에서 함께 분석 및 비평하며 음악적 표현력과 소통하는 태도를 기르는 데 중점을 둔다.</t>
  </si>
  <si>
    <t>[12음01-03]</t>
  </si>
  <si>
    <t>소리의 상호작용을 인식하고 다양한 매체를 적용하여 표현하며 연주로 소통한다.</t>
  </si>
  <si>
    <t>이 성취기준은 다양한 양상으로 나타나는 소리의 상호작용을 인식하여 연주로 표현함으로써 음악으로 소통하도록 하기 위해 설정하였다. 목소리, 악기, 신체, 물체, 가상 악기 등을 통해 나타나는 소리들의 상호작용을 인식하고, 연주에 사용되는 다양한 매체로 연주하도록 한다. 이를 통해 공동체 속에서 음악으로 협력하는 태도를 기르는 데 중점을 둔다.</t>
  </si>
  <si>
    <t>[12음01-04]</t>
  </si>
  <si>
    <t>다양한 상황과 맥락을 고려하여 연주를 생활 속에서 실천하며 서로 다른 연주 문화를 존중한다.</t>
  </si>
  <si>
    <t>이 성취기준은 생활 속 다양한 연주 활동에 주도적으로 참여하며, 서로 다른 연주 문화를 비교 경험하고 존중하는 태도를 기르도록 하기 위해 설정하였다. 학교, 마을, 지역의 행사나 축제에 온⋅오프라인의 네트워크 형태로 참여하며 연주를 계획하거나 실천함으로써 다양한 연주 문화를 존중하도록 한다. 나아가 평생의 삶에서 공동체 발전을 위해 여러 상황과 문제에 관심을 가지고 연주 활동을 실천하는 태도를 기르도록 하는 데 중점을 둔다.</t>
  </si>
  <si>
    <t>[12음02-01]</t>
  </si>
  <si>
    <t>음악을 듣고 다양한 음악 요소와 원리를 인지하며 분석한다.</t>
  </si>
  <si>
    <t>이 성취기준은 감상곡에 적용된 다양한 음악 요소와 원리를 파악하고 분석하는 능력을 기르도록 하기 위해 설정하였다. 다양한 음악을 들으며 음악을 구성하고 있는 요소와 원리에 대한 이해를 바탕으로 음악적 변화와 표현을 감지하고 분석하도록 하는 데 중점을 둔다.</t>
  </si>
  <si>
    <t>[12음02-02]</t>
  </si>
  <si>
    <t>다양한 시대⋅사회⋅문화권의 음악을 듣고 음악적 특징과 구성의 변화를 해석한다.</t>
  </si>
  <si>
    <t>이 성취기준은 시대, 사회, 문화권별 다양한 음악의 특성을 알아보며 음악 구성의 변화 양상을 이해하는 능력을 기르도록 하기 위해 설정하였다. 전통과 현대를 아우르는 다양한 시대, 사회, 문화권의 음악을 듣고, 서로 다른 음악적 특징과 전체적인 구성을 파악하여 해석하는 데 중점을 둔다.</t>
  </si>
  <si>
    <t>[12음02-03]</t>
  </si>
  <si>
    <t>다양한 시대⋅사회⋅문화권의 음악을 듣고 맥락, 기능, 기여의 관점에서 비평한다.</t>
  </si>
  <si>
    <t>이 성취기준은 다양한 시대, 사회, 문화권 등에서 형성되어 온 음악의 의미와 가치를 맥락과 연계하여 폭넓게 이해하는 능력을 기르도록 하기 위해 설정하였다. 시대, 사회, 문화권에 따라 달라지는 음악의 맥락을 이해하면서 다양한 음악을 듣고 미적⋅문화적⋅사회적 의미와 기여에 대해 이해하며 비평한다. 이로써 음악의 내적 측면과 외적 맥락을 종합적으로 학습하고, 나아가 산업, 경제, 생태환경 등 미래 삶의 다양한 관점에서 그 음악의 기여와 공헌을 생각해 보도록 하는 데 중점을 둔다.</t>
  </si>
  <si>
    <t>[12음02-04]</t>
  </si>
  <si>
    <t>생활 속에서 음악을 들으며 감성, 정체성, 가치를 내면화하고 향유한다.</t>
  </si>
  <si>
    <t>이 성취기준은 음악 감상을 통해 다양한 감성을 경험하고 가치를 인식하며 음악을 실생활에서 향유하는 태도를 기르도록 하기 위해 설정하였다. 주도적으로 음악을 찾아 들으며 자신의 음악적 정체성과 가치를 내면화하고, 평생의 삶에 걸쳐 다양한 관점에서 음악을 향유할 수 있는 태도를 기르도록 하는 데 중점을 둔다.</t>
  </si>
  <si>
    <t>[12음02-05]</t>
  </si>
  <si>
    <t>시대별 국악을 듣고 비평하며, 국악을 계승⋅발전시키려는 태도를 갖는다.</t>
  </si>
  <si>
    <t>이 성취기준은 다양한 국악 감상을 통해 국악을 계승⋅발전시킬 수 있는 태도를 형성하도록 하기 위해 설정하였다. 다양한 시대의 국악을 듣고 전통부터 현대에 이르기까지 국악이 변화되어 온 양상을 살펴보고 비평하며, 전통 국악뿐만 아니라 현대에 창작된 국악에 대해 폭넓게 관심을 가지도록 한다. 생활 속에서 국악을 향유하는 방안을 모색하여 실천하고, 이를 통해 국악을 지속적으로 계승⋅발전시킬 수 있는 태도를 함양하는 데 중점을 둔다.</t>
  </si>
  <si>
    <t>[12음03-01]</t>
  </si>
  <si>
    <t>다양한 맥락과 연계되는 음악적 의도나 아이디어를 여러 매체나 방법에 적용하여 창작하고 성찰한다.</t>
  </si>
  <si>
    <t>이 성취기준은 다양한 맥락과 연결 지어 새로운 음악적 의도나 아이디어를 자유롭게 발산할 수 있는 능력을 기르도록 하기 위해 설정하였다. 창작에 사용되는 다양한 매체를 활용하여 음악을 둘러싼 다양한 사회⋅문화⋅시대적 맥락을 바탕으로 자신의 의도에 따라 주도적으로 음악을 구성하고 성찰해 보도록 하는 데 중점을 둔다.</t>
  </si>
  <si>
    <t>[12음03-02]</t>
  </si>
  <si>
    <t>오선보, 정간보 등의 다양한 기보법을 활용하여 주제에 맞게 악곡을 변화시킨다.</t>
  </si>
  <si>
    <t>이 성취기준은 다양한 기보법에 대한 이해와 실제를 바탕으로 음악을 변화시킬 수 있는 능력을 기르도록 하기 위해 설정하였다. 오선보나 정간보 등 기존의 기보법과 사보⋅작곡⋅연주⋅음향 편집 관련 소프트웨어, 음향적 변화나 효과 관련 기기 등을 다양하게 활용하여 음악을 창의적으로 변화시키는 방법을 이해하고, 주어진 주제에 맞게 편곡하는 데 중점을 둔다.</t>
  </si>
  <si>
    <t>[12음03-03]</t>
  </si>
  <si>
    <t>음악 요소와 음악적 특징의 변화를 활용하여 다양한 형식의 음악을 만든다.</t>
  </si>
  <si>
    <t>이 성취기준은 창작에 필요한 음악 요소를 다양하게 변화시켜 자신이 의도한 음악적 특징이 드러나도록 여러 가지 형식의 음악을 창의적으로 만드는 능력을 기르도록 하기 위해 설정하였다. 혼자 또는 여럿이 창작 의도에 따라 음악 요소를 선택하고 다양한 악곡의 형식으로 구조화하여 음악을 만들어 공유함으로써 음악으로 소통하고 가치화하는 태도를 기르는 데 중점을 둔다.</t>
  </si>
  <si>
    <t>[12음03-04]</t>
  </si>
  <si>
    <t>생활 속에서 여러 영역과 융합한 음악을 만들며, 저작권의 중요성 및 음악의 역할과 기여에 대하여 인식한다.</t>
  </si>
  <si>
    <t>이 성취기준은 예술, 체육, 인문, 과학 등 생활 속 여러 영역과 융합한 음악을 창작할 수 있는 능력과 창작자로서의 자질을 기르도록 하기 위해 설정하였다. 음악 창작을 중심으로 자신의 진로와 연관 지어 여러 영역과의 융합적 가능성을 탐색하고 이를 적용하여 음악극이나 음악 영상 등을 만들며 창작의 주체로 활동하도록 한다. 이 과정에서 저작권의 중요성과 사회 내에서 음악 창작이 갖는 역할과 기여에 대해 인식하며, 민주시민으로서 책임감 있는 태도를 기르는 데 중점을 둔다.</t>
  </si>
  <si>
    <t>[12연창01-01]</t>
  </si>
  <si>
    <t>다양한 연주 형태, 형식, 장르, 양식의 악곡을 자신의 해석을 담아 바른 발성과 주법으로 연주한다.</t>
  </si>
  <si>
    <t>이 성취기준은 악곡에 담긴 고유한 음악적 특징을 자신만의 음악적 해석과 표현으로 연주하는 능력을 기르도록 하기 위해 설정하였다. 연주해야 할 악곡의 연주 형태, 형식, 장르, 양식에 따른 음악 요소와 특징을 분석하고 악곡에 어울리는 올바른 발성법이나 연주법을 익혀 자신만의 느낌과 표현으로 연주하도록 하는 데 중점을 둔다.</t>
  </si>
  <si>
    <t>[12연창01-02]</t>
  </si>
  <si>
    <t>음악적 의도를 음악 요소와 구조에 반영하고 적합한 기보법이나 매체를 활용하여 창작한다.</t>
  </si>
  <si>
    <t>이 성취기준은 자신의 창작 의도에 따라 작품의 방향을 결정하고 이에 적합한 기보법이나 매체를 활용하여 창작하는 능력을 기르도록 하기 위해 설정하였다. 작곡법, 편곡법 등 창작을 위한 음악 이론과 자신의 음악 경험을 바탕으로 음악 요소와 연주 형태, 형식, 장르, 양식 등을 구조화하고, 다양한 기보법이나 매체를 적절하게 활용하여 창작해 보는 데 중점을 둔다.</t>
  </si>
  <si>
    <t>[12연창01-03]</t>
  </si>
  <si>
    <t>음악에 대한 개인적⋅사회적 윤리의식을 갖추고 다양한 표현을 담아 공연을 구상하거나 발전시킨다.</t>
  </si>
  <si>
    <t>이 성취기준은 창작자와 연주자가 지켜야 할 올바른 공연 윤리를 바탕으로 창의적인 공연을 구상하고 발전시키는 능력을 기르도록 하기 위해 설정하였다. 저작권, 도덕성 등 창작자와 연주자가 지켜야 할 창작과 표현에 관한 개인적, 사회적 윤리의식에 대해 함께 알아보고, 참신한 아이디어와 다양한 표현을 바탕으로 공연을 계획하고 실제 공연 활동으로 발전시켜 보는 데 중점을 둔다.</t>
  </si>
  <si>
    <t>[12연창01-04]</t>
  </si>
  <si>
    <t>다양한 음악 문화의 공연 예절을 이해하고 서로의 음악 문화를 존중하며 배려하는 태도를 지닌다.</t>
  </si>
  <si>
    <t>이 성취기준은 사회⋅문화적 배경과 맥락 속에서 발달하여 온 다양한 공동체의 공연 예절을 이해하며 서로의 음악 문화를 존중하는 태도를 기르도록 하기 위해 설정하였다. 다양한 문화적 기반을 바탕으로 성장해 온 여러 공동체의 공연을 비교 감상하며 서로 다른 공연 문화와 예절을 이해하고, 실제 공연에 적용함으로써 음악의 문화적 다양성을 존중하고 배려하는 태도를 기르는 데 중점을 둔다.</t>
  </si>
  <si>
    <t>[12연창02-01]</t>
  </si>
  <si>
    <t>다양한 사회와 문화 속의 음악을 듣고, 연주와 창작 활동 양상을 해석하며 비평한다.</t>
  </si>
  <si>
    <t>이 성취기준은 다양한 사회, 문화 속에서 이루어지는 연주나 창작 활동의 현상이나 흐름을 균형 있게 해석하고 비평하는 능력을 기르도록 하기 위해 설정하였다. 다양한 사회, 문화, 공동체의 음악을 조사하고 감상해 보며, 생활 속에서 나타나는 연주와 창작 활동의 양상과 의미, 변화 과정을 다양한 주제와 관점으로 해석하고 비평해 봄으로써 음악을 미적으로 수용하고 소통하는 태도를 기르는 데 중점을 둔다.</t>
  </si>
  <si>
    <t>[12연창02-02]</t>
  </si>
  <si>
    <t>음악의 가치와 역할을 이해하여 연주 및 창작 활동에 능동적으로 참여한다.</t>
  </si>
  <si>
    <t>음악이 인간과 사회에 미치는 영향을 바탕으로 공동체를 위한 연주와 창작 활동에 자발적으로 참여하는 태도를 기르도록 하기 위해 설정하였다. 사회⋅문화적 맥락에 따라 나타나는 음악의 의미와 역할, 영향력을 인식하고, 이와 연계한 연주와 창작 활동을 통해 서로가 소통하는 즐거움을 경험하며 음악 활동에 능동적인 태도로 참여하도록 하는 데 중점을 둔다.</t>
  </si>
  <si>
    <t>[12연창02-03]</t>
  </si>
  <si>
    <t>다양한 소리와 매체, 음악적 아이디어를 연계하고 활용하여 공동체에 기여할 수 있는 공연을 기획한다.</t>
  </si>
  <si>
    <t>이 성취기준은 공연의 목적과 취지에 적합한 다양한 소리와 매체, 아이디어를 조합하여 음악을 통한 사회 참여를 경험하도록 하기 위해 설정하였다. 공연을 위해 다양한 음악적 아이디어, 악기와 매체의 필요성을 인식하고 효과적인 활용 방안을 탐구한다. 또한 공동체의 지속 가능한 음악 문화 발전에 두루 기여할 수 있는 주제, 대상, 방법 등을 포함하여 공연을 기획하고 만들어가도록 하는 데 중점을 둔다.</t>
  </si>
  <si>
    <t>[12연창02-04]</t>
  </si>
  <si>
    <t>다양한 영역과 융합하고 협업하는 연주⋅창작 활동을 통해 서로 포용하는 태도를 갖는다.</t>
  </si>
  <si>
    <t>이 성취기준은 음악 활동과 예술, 과학 등 다양한 영역을 연결하고 협업하는 과정을 통해 서로의 분야를 이해하고 포용하는 태도를 가지도록 하기 위해 설정하였다. 음악 활동을 위한 내⋅외적 상황이나 환경 등을 고려하여 다른 영역과의 연계 가능성을 탐색하고, 함께 연주하거나 창작하며 생성되는 음악의 새로움과 다양성을 열린 마음으로 수용하고 서로를 존중하는 태도를 기르는 데 중점을 둔다.</t>
  </si>
  <si>
    <t>[12감비01-01]</t>
  </si>
  <si>
    <t>음악 요소와 악곡 구성의 원리를 이해하며 음악을 듣고 특징을 비교⋅분석하여 설명한다.</t>
  </si>
  <si>
    <t>이 성취기준은 음악적 이해를 바탕으로 악곡이 지닌 음악적 특징에 대한 자신의 느낌과 견해를 설명할 수 있는 음악적 감성을 기르도록 하기 위해 설정하였다. 음악 요소와 악곡 구성의 원리를 통해 나타나는 느낌과 정서를 인식하고, 감상을 통해 알게 된 바를 다양한 관점에서 비교하고 분석하며, 인지적 이해를 바탕으로 자신의 느낌을 설명하고 내면화하는 데 중점을 둔다.</t>
  </si>
  <si>
    <t>[12감비01-02]</t>
  </si>
  <si>
    <t>다양한 시대, 지역, 문화, 공동체의 음악을 집중하여 듣고 변화와 발전 양상을 파악한다.</t>
  </si>
  <si>
    <t>이 성취기준은 음악이 속한 시대와 사회의 다양성이 음악에 끼친 영향을 파악하고 관련성을 탐구하는 태도를 기르도록 하기 위해 설정하였다. 다양한 시대, 지역, 사회, 문화, 공동체 속 음악을 비교하여 들으며 음악이 파생되고 전개되어 온 배경과 요인을 파악하고 변화⋅발전되어 온 양상을 실제 악곡을 통해 탐구해 보도록 하는 데 중점을 둔다.</t>
  </si>
  <si>
    <t>[12감비01-03]</t>
  </si>
  <si>
    <t>음악을 듣고 음악에 내재된 미적 특성을 수용⋅공감하며 다양한 방법으로 표현한다.</t>
  </si>
  <si>
    <t>이 성취기준은 음악을 들으며 음악의 미적 특성에 기반한 느낌을 다양한 방법으로 표현하는 능력을 기르도록 하기 위해 설정하였다. 음악을 듣고 악곡의 구조와 표현 속에 내재되어 있는 미적 특성을 수용하고 공감하도록 한다. 이를 통해 자신이 느낀 바를 말이나 글과 같은 언어적 표현, 동작이나 안무와 같은 신체적 표현, 색채나 그림과 같은 시각적 표현 등 다양한 방법으로 표현해 보도록 하는 데 중점을 둔다.</t>
  </si>
  <si>
    <t>[12감비01-04]</t>
  </si>
  <si>
    <t>생활 속에서 음악을 찾아 들으며 자신의 음악적 취향을 발견하고, 감상 경험을 공유하며 상호 존중하는 태도를 갖는다.</t>
  </si>
  <si>
    <t>이 성취기준은 음악 감상 경험이 개인의 삶과 결합하여 만들어지는 음악적 취향을 바탕으로 음악 감상을 생활화하는 태도를 기르도록 하기 위해 설정하였다. 실생활의 음악 감상 경험 속에서 자신이 좋아하고 즐기는 음악의 특성을 통해 음악적 취향을 정립하고 감상 경험을 타인과 공유하며 서로의 음악적 취향을 존중하는 태도를 갖도록 하는 데 중점을 둔다.</t>
  </si>
  <si>
    <t>[12감비02-01]</t>
  </si>
  <si>
    <t>사회⋅문화⋅시대적 의미, 음악적 특징, 맥락 등의 관점에서 음악을 듣고 비평한다.</t>
  </si>
  <si>
    <t>이 성취기준은 음악을 여러 관점과 맥락에서 종합적으로 감상하고 비평하는 능력을 기르도록 하기 위해 설정하였다. 사회⋅문화⋅시대적 배경, 음악적 특징, 맥락 등 다양한 관점에서 음악을 이해하고 자신만의 균형감 있는 자세와 관점으로 비평함으로써 음악을 통한 소통과 공감을 경험하는 데 중점을 둔다.</t>
  </si>
  <si>
    <t>[12감비02-02]</t>
  </si>
  <si>
    <t>사회, 문화, 산업 속의 음악을 듣고 음악의 역할과 필요성에 관해 토의하거나 토론한다.</t>
  </si>
  <si>
    <t>이 성취기준은 사회 속 다양한 영역에서 생활과 밀접하게 연결되는 여러 음악의 역할과 필요성에 대한 넓은 안목을 갖추도록 하기 위해 설정하였다. 사회, 문화, 산업 속에서 활용되는 다양한 종류의 음악을 듣고 음악의 사회적 기능과 역할, 필요성에 관해 함께 토의하거나 토론해 봄으로써 음악을 주제로 한 문제 인식과 해결 과정에 참여하도록 하는 데 중점을 둔다.</t>
  </si>
  <si>
    <t>[12감비02-03]</t>
  </si>
  <si>
    <t>생활 속 음악의 가치와 영향력을 이해하고 여러 분야와 연계하여 음악을 활용한다.</t>
  </si>
  <si>
    <t>이 성취기준은 생활 속에서 활용되는 음악의 가치와 영향력을 파악하고 음악을 다른 분야와 연계하며 다양하게 활용할 수 있는 능력을 기르도록 하기 위해 설정하였다. 생활 주변의 다양한 상황에서 가치 있게 활용되는 음악 사례를 조사하고 발표하며 우리 삶 속에 미치는 음악의 영향력에 대해 알아보도록 한다. 이를 바탕으로 인문, 사회, 자연, 과학 등 생활과 관련된 다양한 분야와 연계하며 실생활에 음악을 활용하는 태도를 기르는 데 중점을 둔다.</t>
  </si>
  <si>
    <t>[12감비02-04]</t>
  </si>
  <si>
    <t>감상자와 비평자의 관점에서 음악을 듣고 비평하며 삶 속에서 향유하는 태도를 갖는다.</t>
  </si>
  <si>
    <t>이 성취기준은 학생들이 감상자와 비평자의 관점에서 균형감 있게 음악을 감상하고 비평하며 삶 속에서 음악을 향유할 수 있도록 하기 위해 설정하였다. 감상자와 비평자의 입장뿐만 아니라 연주자의 입장 등 다양한 기준과 관점에서 음악을 감상하고 비평함으로써 음악의 특성을 포괄적이고 총체적으로 바라보며, 자신의 삶 속에서 음악을 적극적으로 즐기는 태도를 기르는 데 중점을 둔다.</t>
  </si>
  <si>
    <t>[12음미01-01]</t>
  </si>
  <si>
    <t>음악에 활용되는 미디어의 종류와 특징을 조사하고 변화와 발전과정을 파악한다.</t>
  </si>
  <si>
    <t>이 성취기준은 음악에 활용되고 있는 미디어를 주도적으로 탐색함으로써 음악과 미디어를 창의적으로 융합하기 위한 기초를 형성하도록 하기 위해 설정하였다. 사보, 창작, 연주 등 음악의 다양한 영역에서 활용되고 있는 미디어의 역사, 종류, 특징 등을 조사하고 구체적인 사례를 찾아보도록 한다. 이를 통해 그 변화와 발전과정을 파악함으로써 음악과 미디어의 창의적 융합에 대해 깊이 있게 탐구하도록 하는 데 중점을 둔다.</t>
  </si>
  <si>
    <t>[12음미01-02]</t>
  </si>
  <si>
    <t>음악과 미디어의 관계를 분석하고 음악에 활용되는 미디어의 의미와 역할에 대해 토의하거나 토론한다.</t>
  </si>
  <si>
    <t>이 성취기준은 실제 사례와 작품을 중심으로 음악과 미디어의 관계를 분석함으로써 음악 미디어의 의미와 역할을 이해하도록 하기 위해 설정하였다. 연주, 창작, 감상 등 음악 활동에 활용되는 도구로서의 미디어, 영화⋅광고⋅애니메이션 음악 등 장르로서의 미디어 음악과 같이 다양한 사례를 통해 음악과 미디어의 관계를 분석한다. 또한 이를 바탕으로 토의하거나 토론하며 음악에서 미디어의 의미와 역할을 능동적으로 파악하는 데 중점을 둔다.</t>
  </si>
  <si>
    <t>[12음미01-03]</t>
  </si>
  <si>
    <t>다양한 미디어 음악을 감상하고 비평하며 음악에 활용되는 미디어의 가치를 인식한다.</t>
  </si>
  <si>
    <t>이 성취기준은 생활 속에서 다양하게 활용되는 미디어 음악을 감상하고 비평함으로써 음악에서의 미디어 활용 가치를 통찰하는 능력을 기르도록 하기 위해 설정하였다. 영화 음악, 광고 음악, 게임 음악 등 다양한 미디어 음악을 주도적으로 찾아 감상하고, 특징, 기능, 역할 등에 대해 비평해 보도록 한다. 이를 통해 미디어 음악의 활용에 따른 예술적⋅사회적⋅경제적 가치를 인식하며 음악에서 미디어의 활용에 대한 가치를 폭넓게 이해하도록 하는 데 중점을 둔다.</t>
  </si>
  <si>
    <t>[12음미01-04]</t>
  </si>
  <si>
    <t>미디어가 음악 산업에 미치는 영향을 비판적으로 분석하고 균형적 시각을 갖는다.</t>
  </si>
  <si>
    <t>이 성취기준은 미디어의 발달이 음악 산업 전반에 미치는 영향을 분석함으로써 음악에서 미디어의 활용에 대한 비판적⋅균형적 안목을 기르도록 하기 위해 설정하였다. 음악의 기록⋅전달⋅유통 등과 관련된 음악 산업 전반에서 미디어의 기능, 역할, 영향 등에 대해 비판적으로 분석하는 과정을 통해 음악에서 미디어의 활용에 대한 균형적 시각을 형성하도록 하는 데 중점을 둔다.</t>
  </si>
  <si>
    <t>[12음미02-01]</t>
  </si>
  <si>
    <t>소리⋅악기⋅아이디어와 미디어 사이의 상호작용을 탐색하고 다양한 상황에 적용하여 표현한다.</t>
  </si>
  <si>
    <t>이 성취기준은 다양한 소리나 악기, 음악적 아이디어를 기반으로 한 음악 활동과 미디어 사이의 상호작용을 자신의 음악적 표현에 적용할 수 있는 능력을 기르도록 하기 위해 설정하였다. 소리, 악기, 음악적 아이디어가 미디어와의 상호작용을 통해 창의⋅융합적으로 표현된 다양한 사례를 찾아보도록 한다. 또한 자신의 음악적 아이디어를 표현하는 수단으로써 미디어를 활용할 수 있는 방안을 탐색해 보고, 이를 다양한 상황에 적용하여 창의적으로 표현해 보는 데 중점을 둔다.</t>
  </si>
  <si>
    <t>[12음미02-02]</t>
  </si>
  <si>
    <t>음악에서 활용되는 미디어를 주체적으로 사용하여 개성 있게 연주하거나 창작한다.</t>
  </si>
  <si>
    <t>이 성취기준은 음악에서 활용되는 미디어의 기능과 사용 방법을 익히고, 이를 자신의 연주나 창작 활동과 연계하여 주체적으로 사용할 수 있는 능력을 기르도록 하기 위해 설정하였다. 사보⋅작곡⋅연주⋅음향 편집 관련 소프트웨어, 음향적 변화나 효과 관련 기기 등 연주와 창작 활동에 적합한 미디어를 선택하고, 이를 활용하여 자신의 개성 있는 표현을 담아 연주하거나 창작하도록 한다. 이를 통해 음악에서 미디어의 활용에 대한 주체적인 태도를 기르는 데 중점을 둔다.</t>
  </si>
  <si>
    <t>[12음미02-03]</t>
  </si>
  <si>
    <t>미디어를 활용하여 다양한 분야와 연계⋅융합한 창의적인 음악 작품을 기획한다.</t>
  </si>
  <si>
    <t>이 성취기준은 미디어 활용을 통해 다양한 분야와 연계하여 음악 작품을 구성하고 기획함으로써 창의⋅융합적 사고력 및 표현력을 기르도록 하기 위해 설정하였다. 개인 또는 다른 사람과의 협업을 통해 아이디어를 자유롭게 발산하여 음악 작품의 주제를 정하고, 주제 구현을 위해 적합한 미디어를 선택하여 활용하도록 한다. 또한 이 과정에서 다른 분야와 연계하거나 융합하여 음악 작품을 기획하는 활동을 통해 다양한 진로를 탐색할 수 있도록 하며, 융합적으로 사고하고 창의적으로 표현하는 기회를 갖도록 하는 데 중점을 둔다.</t>
  </si>
  <si>
    <t>[12음미02-04]</t>
  </si>
  <si>
    <t>다양한 미디어와 디지털 기술의 음악적 활용에 대하여 올바른 윤리의식을 갖는다.</t>
  </si>
  <si>
    <t>이 성취기준은 음악과 관련된 다양한 상황 속에서 미디어를 윤리적으로 활용하는 태도를 기르도록 하기 위해 설정하였다. 다양한 미디어와 디지털 기술을 음악에 활용하는 과정에서 발생할 수 있는 저작권 침해, 도용 등과 같은 문제들을 실제 사례를 통해 탐색해 보도록 한다. 이를 바탕으로 미디어와 디지털 기술의 윤리적 활용 방안과 구체적인 실천 과제에 대해 토의하거나 토론해 봄으로써 음악에서 미디어의 활용과 관련한 바람직한 윤리의식을 가지도록 하는 데 중점을 둔다.</t>
  </si>
  <si>
    <t>[9미01-01]</t>
  </si>
  <si>
    <t>감각을 활용하여 대상과 현상을 탐색하고 자신과 환경에 대한 감수성을 확장할 수 있다.</t>
  </si>
  <si>
    <t>성취기준은 다양한 감각을 활용하여 주변의 대상과 현상을 탐색하고 자신과 자신을 둘러싼 환경에 대한 미적 인식을 통해 감수성을 일깨우는 데 중점을 둔다. 감각을 활용하여 대상과 현상을 탐색하고 상호 작용하여 미적 인식에 이르는 경험을 통해 주변 환경을 포함하여 생태적, 문화적, 사회적 환경까지 새롭게 바라보고 의미를 부여하며 앎을 성찰할 수 있다.</t>
  </si>
  <si>
    <t>[9미01-02]</t>
  </si>
  <si>
    <t>시각 문화의 의미와 역할을 알고 이미지를 비판적으로 해석할 수 있다.</t>
  </si>
  <si>
    <t>[9미01-03]</t>
  </si>
  <si>
    <t>다양한 문화를 존중하며 이미지를 활용하여 소통할 수 있다.</t>
  </si>
  <si>
    <t>[9미01-04]</t>
  </si>
  <si>
    <t>삶과 미술의 관계를 이해하고 다양한 분야와의 연결 방안을 모색할 수 있다.</t>
  </si>
  <si>
    <t>성취기준은 삶 속에서 미술이 어떻게 상호 작용하고 있는지 그 중요성을 인식하는 것으로 출발한다. 인문, 과학, 공학 등 타 분야와 사회 현상에 이르기까지 폭넓게 연결된 미술의 사례를 찾고 자신의 흥미에 맞는 진로나 직업 및 관심 분야와 관련하여 적용 방안을 탐색하는 데 중점을 둔다. 미술과 관련된 직업과 진로를 적극적으로 탐색하고, 자유학기제 진로 탐색 활동, 진로연계교육 등과 연계할 수 있다.</t>
  </si>
  <si>
    <t>[9미02-01]</t>
  </si>
  <si>
    <t>주제를 탐구하고 의도를 반영하여 적합한 표현을 계획할 수 있다.</t>
  </si>
  <si>
    <t>[9미02-02]</t>
  </si>
  <si>
    <t>주도적이고 도전적인 태도로 다양한 미술 표현을 실험하고 작품에 적용할 수 있다.</t>
  </si>
  <si>
    <t>성취기준은 주제를 효과적으로 시각화하는 방법을 찾기 위해 도전하고 실험하는 태도를 기르는 데 중점을 둔다. 실패를 두려워하거나 익숙한 표현 방법에 안주하지 않고 작품에 적합한 표현 방법과 매체를 주도적으로 탐색하고 활용할 수 있다.</t>
  </si>
  <si>
    <t>[9미02-03]</t>
  </si>
  <si>
    <t>조형 요소와 원리, 표현 재료와 방법, 디지털 매체를 포함한 다양한 매체를 활용하여 주제를 효과적으로 표현할 수 있다.</t>
  </si>
  <si>
    <t>[9미02-04]</t>
  </si>
  <si>
    <t>자신과 타인의 작품을 존중하며, 다양한 방법으로 공유하고 소통할 수 있다.</t>
  </si>
  <si>
    <t>성취기준은 자신의 작품을 소중히 여기고 타인의 작품을 존중하는 태도를 지니며, 효과적인 방법으로 작품을 공유하고 소통하는 과정을 통해 표현의 가능성을 확장하는 데 중점을 둔다. 미술 표현 과정과 결과물을 교실, 복도, 지역 사회 공간, 온라인 공간까지 확장하여 공유하고 발표하며 토론할 수 있다.</t>
  </si>
  <si>
    <t>[9미02-05]</t>
  </si>
  <si>
    <t>미술 표현 과정에서의 경험을 성찰하고 삶의 문제 해결에 활용할 수 있다.</t>
  </si>
  <si>
    <t>성취기준은 미술 표현 과정에서 마주하는 크고 작은 질문과 답을 찾아 나가는 과정이 가지는 가치를 알고 그 경험을 삶의 다양한 문제에 활용하는 데 중점을 둔다. 표현 주제를 찾고, 계획하고, 실험하고, 제작하고, 타인과 상호 작용하는 전체 과정에서 경험한 지식⋅이해, 과정⋅기능, 가치⋅태도를 삶의 다양한 문제와 연결할 수 있다.</t>
  </si>
  <si>
    <t>[9미03-01]</t>
  </si>
  <si>
    <t>미술의 시대적, 지역적, 사회적 맥락을 이해하고 설명할 수 있다.</t>
  </si>
  <si>
    <t>[9미03-02]</t>
  </si>
  <si>
    <t>작품의 내용과 형식을 분석하고 미술 용어와 지식을 활용하여 설명할 수 있다.</t>
  </si>
  <si>
    <t>[9미03-03]</t>
  </si>
  <si>
    <t>다양한 감상 방법과 관점을 활용하여 작품을 해석할 수 있다.</t>
  </si>
  <si>
    <t>[9미03-04]</t>
  </si>
  <si>
    <t>미술의 다원성에 대한 존중을 바탕으로 미술 감상 경험을 삶과 연결하고 공동체 문화에 기여할 수 있다.</t>
  </si>
  <si>
    <t>성취기준은 미술의 다원성을 존중하는 태도를 바탕으로 미술 감상 과정과 결과에서 얻은 지식과 경험을 자신의 삶과 연결하여 통찰을 얻고 자신이 속한 공동체가 더 나은 문화를 만들어 나가도록 하는 데 중점을 둔다. 미술 작품과 그에 얽힌 다양한 주제에 관해 의견을 나누는 가운데 미술의 가치와 역할을 인식하고 미술을 통해 나와 공동체의 문화를 새롭게 하는 데 기여할 수 있다.</t>
  </si>
  <si>
    <t>[12미01-01]</t>
  </si>
  <si>
    <t>자신과 세계를 지각하고 미적으로 인식하며, 대상과 현상의 미적 가치를 발견하고 분석할 수 있다.</t>
  </si>
  <si>
    <t>성취기준은 자신과 세계를 감각으로 탐색하여 민감하게 지각하는 과정에서 대상과 현상을 다양한 방법으로 분석함으로써 새로운 시각에서 인식하고 미적 가치를 발견하기 위하여 설정되었다. 미적 가치의 발견과 분석은 세계를 이해하는 미적 안목을 바탕으로 개인의 관심사에서 출발하여 자신이 속한 공동체, 나아가 가상공간으로 범위를 확대한다.</t>
  </si>
  <si>
    <t>[12미01-02]</t>
  </si>
  <si>
    <t>시각 문화의 다양성과 의미 전달 방식을 이해하여 시각 문화를 비판적으로 수용하고 향유할 수 있다.</t>
  </si>
  <si>
    <t>[12미01-03]</t>
  </si>
  <si>
    <t>이미지를 활용한 소통방식을 탐구하여 미술이 삶 속에서 가지는 의미에 대해 공감할 수 있다.</t>
  </si>
  <si>
    <t>[12미01-04]</t>
  </si>
  <si>
    <t>삶과 연결된 미술을 이해하여 공동체와 생태환경으로 확장할 수 있다.</t>
  </si>
  <si>
    <t>[12미02-01]</t>
  </si>
  <si>
    <t>다양한 발상으로 주제를 심화하여 작품을 계획할 수 있다.</t>
  </si>
  <si>
    <t>성취기준은 하나의 주제를 깊이 있게 발전시키는 과정을 통해 주제를 심화하고 발상 과정과 표현 계획을 시각화하기 위해 설정한 것이다. 주제 심화를 위해 발상 기법을 활용하거나 자유로운 발상 과정을 시각화하여 주제가 작품으로 구현되는 과정을 인식하는 것에 초점을 둔다.</t>
  </si>
  <si>
    <t>[12미02-02]</t>
  </si>
  <si>
    <t>주제에 적합한 표현 매체와 방법을 실험하고 융합하는 과정에 집중할 수 있다.</t>
  </si>
  <si>
    <t>[12미02-03]</t>
  </si>
  <si>
    <t>표현 과정을 성찰하고 새로운 표현 효과를 탐색하여 다음 작품에 반영할 수 있다.</t>
  </si>
  <si>
    <t>[12미02-04]</t>
  </si>
  <si>
    <t>주제를 확장하기 위한 미술 활동에 관심을 가지고 참여할 수 있다.</t>
  </si>
  <si>
    <t>성취기준은 우리 사회가 직면하고 있는 전 지구적인 이슈에 관심을 가지고 이를 미술 활동의 주제로 확장하고 연결하기 위해 설정한 것이다. 지속가능한 발전, 생태전환, 시민성, 디지털 소양 등 자신을 둘러싸고 있는 사회에서 발견할 수 있는 주제를 폭넓게 탐색하며 적용함으로써 미술을 통한 정체성과 공동체성의 함양에 초점을 둔다.</t>
  </si>
  <si>
    <t>[12미03-01]</t>
  </si>
  <si>
    <t>미술의 시대적, 지역적, 사회⋅문화적 변천 과정을 이해하고 작품을 감상하며 자신의 견해를 논리적으로 표현할 수 있다.</t>
  </si>
  <si>
    <t>성취기준은 미술의 시대적, 지역적, 사회⋅문화적 변천 과정과 미술 작품의 관련성을 맥락적으로 이해하고 감상하기 위해 설정된 것이다. 시대적, 역사적 변화의 맥락 속에서 미술 작품의 특징과 의미, 자신의 견해를 미술 용어를 사용하여 논리적인 글과 말로 표현하는 데 초점을 둔다.</t>
  </si>
  <si>
    <t>[12미03-02]</t>
  </si>
  <si>
    <t>비평 방법을 활용하여 미술과 시대, 사회, 환경과의 상호 관련성을 분석하고 가치를 판단할 수 있다.</t>
  </si>
  <si>
    <t>[12미03-03]</t>
  </si>
  <si>
    <t>미술 작품 감상과 비평의 관점을 활용한 소통으로 미술 문화의 다원적 가치를 이해하고 존중할 수 있다.</t>
  </si>
  <si>
    <t>[12미03-04]</t>
  </si>
  <si>
    <t>전시의 목적과 유형을 이해하여 전시를 기획하고 참여할 수 있다.</t>
  </si>
  <si>
    <t>[12미창01-01]</t>
  </si>
  <si>
    <t>다양한 정보를 수집하여 자신의 진로나 관심 분야와 연결된 주제를 탐색할 수 있다.</t>
  </si>
  <si>
    <t>성취기준은 학생들이 자신의 진로 및 자신을 둘러싸고 있는 세계의 여러 관심 분야를 면밀하게 탐색하는 과정을 통하여 작품의 주제를 삶 속에서 찾도록 설정된 것이다. 자신의 진로, 지속가능한 발전, 생태전환, 시민성, 문화 다양성 등에 대한 정보를 수집하고 깊이 있는 탐색을 통해 표현 주제를 선정하는 데 초점을 둔다.</t>
  </si>
  <si>
    <t>[12미창01-02]</t>
  </si>
  <si>
    <t>창의적 발상 방법을 알고 아이디어를 시각화할 수 있다.</t>
  </si>
  <si>
    <t>[12미창01-03]</t>
  </si>
  <si>
    <t>표현 기법과 매체를 탐구하고 이해하여 발견된 문제를 해결할 수 있다.</t>
  </si>
  <si>
    <t>[12미창01-04]</t>
  </si>
  <si>
    <t>주제에 적합한 표현 매체와 방법을 선정하고 몰입하여 작품을 창작할 수 있다.</t>
  </si>
  <si>
    <t>성취기준은 주제에 적합한 표현 매체와 방법을 선정하고 작품 창작에 몰입하여 창의적으로 작품을 제작하도록 설정된 것이다. 여기에서 몰입은 자신의 의도대로 예술 작품을 제작하기 위해서 창작의 전체 설계를 스스로 조절하며 집중하는 태도로서 학생들이 적극적으로 창작 활동을 즐기는 상위 수준의 태도를 의미한다. 설계와 창작은 주제 선정, 아이디어 발상 및 시각화, 표현 기법과 매체 탐구, 표현 매체와 방법 선정, 작품 창작으로 이어지는 창작의 과정 자체가 곧 작품이 됨을 이해하고 창의적으로 표현하는 데 초점을 둔다.</t>
  </si>
  <si>
    <t>[12미창02-01]</t>
  </si>
  <si>
    <t>표현 기법과 매체를 적극적으로 실험하고 융합하여 효과를 발견하고 작품에 적용할 수 있다.</t>
  </si>
  <si>
    <t>[12미창02-02]</t>
  </si>
  <si>
    <t>도전적 문제 해결 태도로 주제, 표현 기법, 매체 등 작품의 내용과 형식을 심화하여 창작할 수 있다.</t>
  </si>
  <si>
    <t>성취기준은 주제, 표현 기법, 매체를 심화하여 작품의 완성도를 높여 표현하도록 설정된 것이다. 창작 결과를 전시하기 전 주제, 표현 기법, 매체의 표현을 통해 자신의 의도가 작품에 드러나는지 확인하고 발견된 문제를 해결하며 부족한 부분은 깊이 있는 표현을 추가하여 완성하도록 한다. 작품의 내용과 형식을 심화하여 자신의 의도대로 주제를 표현하는 것에 초점을 둔다.</t>
  </si>
  <si>
    <t>[12미창02-03]</t>
  </si>
  <si>
    <t>전시 목적과 방법에 따라 전시를 기획하고 구성하면서 서로 다른 미적 인식을 비판적으로 수용할 수 있다.</t>
  </si>
  <si>
    <t>[12미창02-04]</t>
  </si>
  <si>
    <t>창작의 과정과 결과의 연결성을 성찰하고 다양성을 존중하여 그 결과를 확장할 수 있다.</t>
  </si>
  <si>
    <t>성취기준은 발상, 실험, 제작, 확장으로 이어지는 창작 과정과 온오프라인, 학교와 지역사회 등 시공간이 확장된 전시로 창작 과정과 결과가 연결되어 있음을 이해하기 위한 것이다. 작품의 전시를 통하여 창작의 과정과 결과를 이해하고 작품에 나타난 다양한 생각을 존중하는 것에 초점을 둔다.</t>
  </si>
  <si>
    <t>[12미감01-01]</t>
  </si>
  <si>
    <t>미술의 역사, 정치, 경제, 사회적 변천 과정과 특징을 분석하여 작가와 작품의 미술사적 의의를 이해할 수 있다.</t>
  </si>
  <si>
    <t>[12미감01-02]</t>
  </si>
  <si>
    <t>자신의 삶과 관련된 작가와 작품을 탐색하여 공감하고 진로와 연결할 수 있다.</t>
  </si>
  <si>
    <t>성취기준은 자신의 관심과 흥미, 진로와 관련 있는 작가의 작품을 탐색하고 공감하는 활동을 통하여 자신의 삶과 미술 작품이 관련이 있음을 이해하는 활동으로 설정하였다. 작가의 작품이 자신의 삶과 관련성을 맺고 있음을 알고 삶에서 적용되고 이어지는 활동이 되도록 초점을 둔다.</t>
  </si>
  <si>
    <t>[12미감01-03]</t>
  </si>
  <si>
    <t>온오프라인 전시 공간에서 작품을 감상하고 해석하며 서로의 의견을 포용할 수 있다.</t>
  </si>
  <si>
    <t>[12미감01-04]</t>
  </si>
  <si>
    <t>작가와 작품의 특징을 맥락적으로 이해하는 과정에서 문화 다양성을 수용하고 공동체 의식을 함양할 수 있다.</t>
  </si>
  <si>
    <t>[12미감02-01]</t>
  </si>
  <si>
    <t>미술 작품의 특징, 지식과 정보 등의 근거를 바탕으로 작품의 의미를 이해하고 설명할 수 있다.</t>
  </si>
  <si>
    <t>[12미감02-02]</t>
  </si>
  <si>
    <t>다양한 미술 비평 방법을 이해하고 활용하여 작품을 해석하고 평가할 수 있다.</t>
  </si>
  <si>
    <t>[12미감02-03]</t>
  </si>
  <si>
    <t>비평 관점에 따라 자신의 반응을 명료화하고 작품의 가치를 판단하며 미술 용어를 활용하여 논리적으로 표현할 수 있다.</t>
  </si>
  <si>
    <t>성취기준은 다양한 미술 비평의 관점을 활용하여 작품의 의미와 특징 등을 논리적인 말과 글로 표현함으로써 작품에 대한 자신의 생각을 명료화하는 비평 활동이 이루어지도록 설정하였다. 작품에 대한 자신의 견해를 미술 용어를 활용하여 다른 사람에게 논리적으로 전달하는 데에 초점을 둔다.</t>
  </si>
  <si>
    <t>[12미감02-04]</t>
  </si>
  <si>
    <t>사회적 이슈를 비롯하여 타 분야와 연계한 비평 활동으로 형성된 비판적 사고를 사회와 삶으로 확장할 수 있다.</t>
  </si>
  <si>
    <t>성취기준은 미술 비평의 관점에서 삶 속의 다양한 문제를 비평 활동을 통해 형성된 비판적 사고로 해결할 수 있는 방법을 찾아보도록 설정하였다. 사회적 이슈나 자신의 진로와 연계하여 작품을 평가하고 가치를 재창출하며 다양한 측면의 관점을 폭넓게 탐구하는 데에 초점을 둔다.</t>
  </si>
  <si>
    <t>[12미매01-01]</t>
  </si>
  <si>
    <t>시대별, 지역별 매체의 변화를 비교하고 미술과 매체를 관련지을 수 있다.</t>
  </si>
  <si>
    <t>[12미매01-02]</t>
  </si>
  <si>
    <t>미술에서 매체의 역할과 의미를 탐색하고 미적 가치를 발견할 수 있다.</t>
  </si>
  <si>
    <t>성취기준은 매체가 작가의 생각과 감정, 시대 인식을 반영한 결과물임을 이해하고 미술 속 매체의 역할과 의미를 탐색하여 미적 가치를 발견할 수 있도록 설정된 것이다. 미술 작품을 통해 작가의 내러티브, 디지털 혁명에 의한 기술의 발달, 기후위기, 환경 재난 등의 환경적 변화를 이해하는 등 매체의 역할과 의미를 탐색하는 과정에서 미술에서 매체의 미적 가치를 발견하는 데 초점을 둔다.</t>
  </si>
  <si>
    <t>[12미매01-03]</t>
  </si>
  <si>
    <t>미술에 활용되는 아날로그와 디지털 매체의 개념과 종류를 이해하고 개방적 태도로 표현 매체를 선택할 수 있다.</t>
  </si>
  <si>
    <t>[12미매01-04]</t>
  </si>
  <si>
    <t>매체의 특성과 표현 원리를 실험하고 작품에 반영할 수 있다.</t>
  </si>
  <si>
    <t>성취기준은 건식 매체, 습식 매체, 유화 물감, 아크릴 물감, 사진, 도자, 유리, 금속, 나무 등 아날로그 매체와 디지털 이미지, 인터넷, 가상현실 등 디지털 매체의 특성과 표현 원리를 실험하고 그 효과를 이해하여 작품에 반영할 수 있도록 설정된 것이다. 매체의 미적, 물성적, 기술적 특성과 표현 원리를 실험하며 기존에 미술 매체로 사용해보지 않았던 새로운 매체들을 발견하고 경험하여 표현에 적용하는 데 초점을 둔다.</t>
  </si>
  <si>
    <t>[12미매02-01]</t>
  </si>
  <si>
    <t>아날로그 매체와 디지털 매체를 창의적으로 활용하여 표현할 수 있다.</t>
  </si>
  <si>
    <t>[12미매02-02]</t>
  </si>
  <si>
    <t>아날로그와 디지털 매체를 타 분야와 연결하고 융합하며 매체의 가치를 공유할 수 있다.</t>
  </si>
  <si>
    <t>성취기준은 매체의 표현 기술과 방법을 타 분야와 연결하고 융합하여 자신의 의도대로 작품을 창의적으로 표현하도록 설정된 것이다. 미술을 다양한 분야와 융합하여 표현하는 현대 미술의 다원화된 표현 방법 속 매체의 가치를 이해하고, 전통적으로 사용해오던 아날로그 매체와 디지털 매체를 융합하여 새로운 매체 표현을 시도하며 매체의 가치를 발견하고 공유하는 데 초점을 둔다. 일상에서 지나치던 매체를 새로운 표현 매체와 융합하여 작품에 활용하는 과정에서 깊이 있는 학습이 이루어지며 타 분야에 대해 개방적인 태도를 기르게 된다.</t>
  </si>
  <si>
    <t>[12미매02-03]</t>
  </si>
  <si>
    <t>작품의 정교한 표현과 보존 방법을 이해하고 다양한 매체로 표현한 작품을 전시할 수 있다.</t>
  </si>
  <si>
    <t>성취기준은 매체의 표현 기술을 활용하여 자신의 의도대로 작품을 섬세하고 치밀하게 표현하는 방법과 아날로그 매체와 디지털 매체를 사용한 작품의 보존 방법의 차이를 이해하고 작품을 효과적으로 전시하도록 설정된 것이다. 아날로그 매체를 사용한 작품은 화랑이나 미술관에서 작품을 보존하고 전시하지만 디지털 매체를 사용한 작품은 작품 보존과 전시에 있어서 차이가 있음을 이해하고, 온오프라인 공간을 탐색하고 활용하여 작품을 보존하고 전시하는 것에 초점을 둔다. 다양한 매체를 활용하여 학습자의 생각과 작품의 표현을 함께 정교화하고 작품에 적합한 방법을 활용하여 전시하는 과정을 통해 학생들은 예술적 성취를 경험한다.</t>
  </si>
  <si>
    <t>[12미매02-04]</t>
  </si>
  <si>
    <t>전시된 작품 속 매체의 효과에 반응하고 공감하며 비판적으로 수용할 수 있다.</t>
  </si>
  <si>
    <t>[9영01-01]</t>
  </si>
  <si>
    <t>단어, 어구, 문장을 듣고 연음이나 축약된 소리를 식별한다.</t>
  </si>
  <si>
    <t>이 성취기준은 자주 사용되는 단어나 어구 또는 다양한 언어 형식의 문장을 듣고 영어의 리듬, 강세, 억양뿐만 아니라 연음이나 축약된 소리를 식별하여 자연스럽게 영어로 말하는 것을 듣고 이해할 수 있는 것을 의미한다.</t>
  </si>
  <si>
    <t>[9영01-02]</t>
  </si>
  <si>
    <t>친숙한 주제에 관한 담화나 글에서 세부 정보를 파악한다.</t>
  </si>
  <si>
    <t>이 성취기준은 학습자가 개인 생활, 학교생활, 사회생활 등에서 흔히 접할 수 있는 친숙한 주제에 관하여, 말이나 대화를 듣거나 글을 읽고 그 속에서 숫자, 위치, 사건 등의 세부 정보를 파악할 수 있으며, 그림, 사진, 도표 등의 시각적 정보를 포함한 말, 대화, 글에서 세부 정보를 파악할 수 있는 것을 의미한다.</t>
  </si>
  <si>
    <t>[9영01-03]</t>
  </si>
  <si>
    <t>친숙한 주제에 관한 담화나 글의 중심 내용을 파악한다.</t>
  </si>
  <si>
    <t>이 성취기준은 학습자가 개인 생활, 학교생활, 사회생활 등에서 흔히 접할 수 있는 친숙한 주제에 관하여, 말이나 대화를 듣거나 글을 읽고, 줄거리, 주제, 요지 등의 중심 내용을 파악할 수 있는 것을 의미한다.</t>
  </si>
  <si>
    <t>[9영01-04]</t>
  </si>
  <si>
    <t>친숙한 주제에 관한 담화나 글에서 일이나 사건의 논리적 관계를 파악한다.</t>
  </si>
  <si>
    <t>이 성취기준은 학습자가 개인 생활, 학교생활, 사회생활 등에서 흔히 접할 수 있는 친숙한 주제에 관하여, 말이나 대화를 듣거나 글을 읽고 일이나 사건의 순서, 전후 관계, 원인과 결과 등의 논리적 관계를 파악할 수 있는 것을 의미한다.</t>
  </si>
  <si>
    <t>[9영01-05]</t>
  </si>
  <si>
    <t>친숙한 주제에 관한 담화나 글에서 인물의 기분이나 감정을 추론한다.</t>
  </si>
  <si>
    <t>[9영01-06]</t>
  </si>
  <si>
    <t>친숙한 주제에 관한 담화나 글에서 화자나 필자의 의도나 목적을 추론한다.</t>
  </si>
  <si>
    <t>[9영01-07]</t>
  </si>
  <si>
    <t>단어, 어구, 문장의 함축적 의미를 추론한다.</t>
  </si>
  <si>
    <t>[9영01-08]</t>
  </si>
  <si>
    <t>적절한 전략을 활용하여 다양한 매체로 표현된 담화나 글을 듣거나 읽는다.</t>
  </si>
  <si>
    <t>이 성취기준은 학습자가 방송, 영상, 인터넷 등 다양한 매체로 표현된 친숙한 주제에 관한 말, 대화 또는 글을 듣거나 읽을 때, ‘다음에 나올 내용을 추측하며 듣거나 읽기’와 ‘훑어보기’와 같은 다양한 전략을 적절하게 활용할 수 있는 것을 의미한다.</t>
  </si>
  <si>
    <t>[9영01-09]</t>
  </si>
  <si>
    <t>다양한 관점을 존중하는 태도로 듣거나 읽는다.</t>
  </si>
  <si>
    <t>[9영01-10]</t>
  </si>
  <si>
    <t>자신의 관심사에 관한 다양한 담화나 글을 선택하여 적극적으로 듣거나 읽는다.</t>
  </si>
  <si>
    <t>이 성취기준은 학습자가 자신의 관심 분야와 관련된 말, 대화 또는 글을 스스로 선택하여 계획성 있고 적극적인 태도로 듣거나 읽을 수 있는 것을 의미한다.</t>
  </si>
  <si>
    <t>[9영02-01]</t>
  </si>
  <si>
    <t>연음이나 축약된 소리를 활용하여 단어, 어구, 문장을 말한다.</t>
  </si>
  <si>
    <t>이 성취기준은 학습자가 영어의 리듬, 강세, 억양뿐만 아니라 연음이나 축약된 소리를 적절히 활용하여 실제 상황에서 단어, 어구, 문장을 이해할 수 있는 발음으로 자연스럽게 말할 수 있는 것을 의미한다.</t>
  </si>
  <si>
    <t>[9영02-02]</t>
  </si>
  <si>
    <t>대상이나 인물의 감정을 묘사한다.</t>
  </si>
  <si>
    <t>이 성취기준은 학습자가 개인 생활, 학교생활, 사회생활 등에서 흔히 접할 수 있는 친숙한 주제에 관해, 자신이나 상대방이 느끼는 기분이나 감정을 묘사하는 말이나 대화를 하거나 문장 또는 문단으로 쓸 수 있는 것을 의미한다. 또한 주변 사람이나 사물 등에 대해 적절하게 묘사하는 말이나 대화를 하거나 문장 또는 문단으로 쓸 수 있는 것을 의미한다.</t>
  </si>
  <si>
    <t>[9영02-03]</t>
  </si>
  <si>
    <t>친숙한 주제에 관해 사실적 정보를 설명한다.</t>
  </si>
  <si>
    <t>이 성취기준은 학습자가 개인 생활, 학교생활, 사회생활 등에서 흔히 접할 수 있는 친숙한 주제에 관해 사람, 사물, 위치나 장소, 방법이나 절차 등을 적절하게 설명하는 말이나 대화를 하거나 문장이나 문단으로 쓸 수 있는 것을 의미한다. 또한 그림, 사진, 도표 등 시각적 정보와 관련하여 특정 정보를 설명하는 말이나 대화를 하거나 문장이나 문단으로 쓸 수 있는 것을 의미한다.</t>
  </si>
  <si>
    <t>[9영02-04]</t>
  </si>
  <si>
    <t>친숙한 주제에 관해 경험이나 계획을 설명한다.</t>
  </si>
  <si>
    <t>[9영02-05]</t>
  </si>
  <si>
    <t>친숙한 주제에 관해 일이나 사건의 논리적 관계를 설명한다.</t>
  </si>
  <si>
    <t>이 성취기준은 학습자가 개인 생활, 학교생활, 사회생활 등에서 흔히 접할 수 있는 친숙한 주제에 관한 일이나 사건의 상황에 대해 분석적으로 생각해 보고 이를 통해 일이나 사건의 순서, 전후 관계, 원인과 결과 등의 논리적 관계에 대해 말이나 대화를 하거나 문장이나 문단으로 쓸 수 있는 것을 의미한다.</t>
  </si>
  <si>
    <t>[9영02-06]</t>
  </si>
  <si>
    <t>친숙한 주제에 관해 자신의 의견을 주장한다.</t>
  </si>
  <si>
    <t>이 성취기준은 학습자가 개인 생활, 학교생활, 사회생활 등에서 흔히 접할 수 있는 친숙한 주제에 관해 자신의 의견을 주장하는 말이나 대화를 하거나 문장이나 문단으로 쓸 수 있는 것을 의미한다. 이는 또한 학습자의 주장이 설득력을 갖추기 위해 의견을 뒷받침할 만한 근거를 함께 제시할 수 있도록 하는 것이다.</t>
  </si>
  <si>
    <t>[9영02-07]</t>
  </si>
  <si>
    <t>친숙한 주제에 관해 듣거나 읽고 내용을 요약한다.</t>
  </si>
  <si>
    <t>[9영02-08]</t>
  </si>
  <si>
    <t>간단한 일기, 편지, 이메일 등의 글을 쓴다.</t>
  </si>
  <si>
    <t>[9영02-09]</t>
  </si>
  <si>
    <t>적절한 매체를 활용하여 정보 윤리를 준수하며 말하거나 쓴다.</t>
  </si>
  <si>
    <t>이 성취기준은 학습자가 인용한 내용이나 자료의 출처를 언급하는 등의 정보 윤리를 준수하며 이미지, 영상, 인터넷 등 다양한 매체를 적절하게 활용하여 자신의 생각을 말하거나 문장이나 문단으로 쓸 수 있는 것을 의미한다.</t>
  </si>
  <si>
    <t>[9영02-10]</t>
  </si>
  <si>
    <t>적절한 전략을 활용하여 상황이나 목적에 맞게 말하거나 쓴다.</t>
  </si>
  <si>
    <t>이 성취기준은 학습자가 실생활의 여러 말하기나 글쓰기 상황에서 ‘바꿔 말하기’ 또는 ‘고쳐 쓰기’와 같은 적절하고 다양한 전략을 활용하여 상황이나 목적에 맞게 효과적으로 말이나 대화를 하거나 문장이나 문단으로 쓸 수 있는 것을 의미한다.</t>
  </si>
  <si>
    <t>[9영02-11]</t>
  </si>
  <si>
    <t>상대방을 배려하는 태도로 말하거나 쓴다.</t>
  </si>
  <si>
    <t>[10공영1-01-01]</t>
  </si>
  <si>
    <t>말이나 글에 포함된 세부 정보를 파악한다.</t>
  </si>
  <si>
    <t>[10공영1-01-02]</t>
  </si>
  <si>
    <t>말이나 글의 주제나 요지를 파악한다.</t>
  </si>
  <si>
    <t>[10공영1-01-03]</t>
  </si>
  <si>
    <t>말이나 글의 분위기나 화자나 인물의 심정 및 의도 등을 추론한다.</t>
  </si>
  <si>
    <t>[10공영1-01-04]</t>
  </si>
  <si>
    <t>말이나 글에 나타난 일이나 사건의 논리적 관계를 파악한다.</t>
  </si>
  <si>
    <t>[10공영1-01-05]</t>
  </si>
  <si>
    <t>말이나 글에 포함된 표현의 함축적 의미를 추론한다.</t>
  </si>
  <si>
    <t>이 성취기준은 화자나 필자가 사용하는 표현의 함축적 의미를 상황과 맥락 및 문화적 배경에 대한 지식을 통해 추론하는 것이다. 학습자는 문학적이거나 창의적인 표현을 통해 언어 사용의 묘미를 느끼고, 명시적이고 직설적인 표현과 비교하며 함축적 표현의 전달 효과를 이해하게 된다.</t>
  </si>
  <si>
    <t>[10공영1-01-06]</t>
  </si>
  <si>
    <t>말이나 글의 전개 방식이나 구조를 파악한다.</t>
  </si>
  <si>
    <t>이 성취기준은 담화나 글이 구성된 형식이나 틀을 이해하고 내용을 보다 효과적으로 전달하기 위해 화자나 필자가 사용한 서론, 본론, 결론 등의 구성 체계나 내용의 전개 방식을 파악하는 것이다. 학습자는 주제문의 위치, 예시나 근거 자료의 제시, 단락을 잇는 연결어 및 내용의 일관성을 유지하기 위한 장치 등을 주목하며 말과 글이 전개되는 구성의 틀을 이해하게 된다.</t>
  </si>
  <si>
    <t>[10공영1-01-07]</t>
  </si>
  <si>
    <t>말이나 글의 이해를 위한 적절한 전략을 적용한다.</t>
  </si>
  <si>
    <t>이 성취기준은 여러 가지 매체로 표현된 말이나 글을 학습자가 적절한 듣기 및 읽기 전략을 사용하여 효과적으로 이해하는 것이다. 듣기의 경우 발화의 특징이나 언어의 격식 및 화자와 청자 간의 관계 등에 따라 듣기 전략을 다르게 적용하여 내용을 보다 쉽고 효과적으로 파악한다. 읽기의 경우 글의 종류나 소재, 글의 길이 및 어휘의 수준, 읽는 목적 등에 따라 읽기 전략을 다르게 적용하여 내용을 효과적으로 파악한다. 또한 학습자는 자신이 사용한 듣기 및 읽기 전략의 효과를 스스로 평가하고 전략을 수정 또는 정교화한다.</t>
  </si>
  <si>
    <t>[10공영1-01-08]</t>
  </si>
  <si>
    <t>말이나 글에 나타난 다양한 관점이나 의견을 포용적인 태도로 분석한다.</t>
  </si>
  <si>
    <t>이 성취기준은 말이나 글에 나타난 화자나 필자의 관점이나 의견을 다양성의 측면에서 포용적으로 이해하는 태도를 의미하는 것이다. 학습자는 개개인이 처한 상황이나 문화적 배경에 따라 사물이나 현상을 보는 관점이나 관습 등이 다를 수 있음을 이해하고, 자신과 다른 관점이나 의견을 비교⋅분석하는 데 있어서 포용적인 태도를 취하게 된다.</t>
  </si>
  <si>
    <t>[10공영1-02-01]</t>
  </si>
  <si>
    <t>실물, 그림, 사진, 도표 등을 활용하여 내용을 설명한다.</t>
  </si>
  <si>
    <t>이 성취기준은 비언어적 자료로 제시된 정보나 시각 자료 등을 적절히 활용하여 전달하고자 하는 내용을 설명하는 것이다. 학습자는 실물이나 그림, 사진, 도표 자료 등 일상적으로 접하게 되는 다양한 형태의 자료를 활용하여 전달 내용에 대한 청자나 독자의 이해도를 높인다.</t>
  </si>
  <si>
    <t>[10공영1-02-02]</t>
  </si>
  <si>
    <t>사실적 정보나 지식을 말이나 글로 전달한다.</t>
  </si>
  <si>
    <t>[10공영1-02-03]</t>
  </si>
  <si>
    <t>경험이나 계획 등을 말하거나 기술한다.</t>
  </si>
  <si>
    <t>[10공영1-02-04]</t>
  </si>
  <si>
    <t>자신의 생각이나 의견, 감정, 감상 등을 표현한다.</t>
  </si>
  <si>
    <t>[10공영1-02-05]</t>
  </si>
  <si>
    <t>듣거나 읽은 내용을 요약하여 말하거나 기술한다.</t>
  </si>
  <si>
    <t>이 성취기준은 듣거나 읽고 이해한 자료의 핵심 내용을 짧은 말이나 문장으로 요약하는 것이다. 내용 전체를 아우르면서도 지엽적인 내용을 빼고, 핵심 어구와 주제를 포함하면서 내용의 맥락에 맞게 핵심 내용을 간추린다.</t>
  </si>
  <si>
    <t>[10공영1-02-06]</t>
  </si>
  <si>
    <t>어휘나 표현을 점검하여 내용을 명확하게 전달한다.</t>
  </si>
  <si>
    <t>이 성취기준은 말하기나 쓰기 과정에서 동료나 교사의 피드백 및 온라인 도구 등을 통해 어휘나 표현의 적절성을 점검하고 수정하여 전달하고자 하는 내용의 명확성을 높이는 것이다. 학습자는 자신의 반복적인 실수나 오류를 점검하고 최소화하여 어휘나 문장 수준에서 말이나 글의 의미를 명확히 표현한다.</t>
  </si>
  <si>
    <t>[10공영1-02-07]</t>
  </si>
  <si>
    <t>적절한 전략과 다양한 매체를 활용하여 상황과 목적에 맞게 말하거나 쓴다.</t>
  </si>
  <si>
    <t>이 성취기준은 다양한 의사소통 목적과 상황 및 맥락을 고려하여 상대방과의 대화나 소통을 유의미하게 이어가거나, 다양한 매체를 활용하여 메시지를 효과적으로 전달하면서 과제를 해결하기 위해 적절한 전략을 활용하는 것이다. 학습자는 핵심 단어 반복하기, 재구성하기, 우회적으로 표현하기, 쉬운 말로 대체하기, 질문하거나 환기하기, 예시 들기, 통계 자료 제시하기 등 다양한 소통 목적에 맞게 적절한 전략을 사용하고, 사용한 전략의 효과에 대해 스스로 평가해 본다.</t>
  </si>
  <si>
    <t>[10공영1-02-08]</t>
  </si>
  <si>
    <t>상대방의 생각이나 관점을 존중하고 언어 예절을 갖추어 표현한다.</t>
  </si>
  <si>
    <t>이 성취기준은 말하거나 글을 쓸 때 청자나 독자의 입장을 고려하여 자신과 다른 관점을 포용적 태도로 이해하고 존중하며, 적절한 언어 예절을 갖추어 생각이나 의견을 표현하는 것이다. 언어 사용에 있어서 차별이나 편견을 내포하고 있는 표현을 사용하지 않고, 격식과 예절을 갖춘 포용적 언어를 사용하도록 적극 권장한다.</t>
  </si>
  <si>
    <t>[10공영2-01-01]</t>
  </si>
  <si>
    <t>[10공영2-01-02]</t>
  </si>
  <si>
    <t>[10공영2-01-03]</t>
  </si>
  <si>
    <t>말이나 글의 분위기나 등장인물의 심정 및 의도 등을 추론한다.</t>
  </si>
  <si>
    <t>[10공영2-01-04]</t>
  </si>
  <si>
    <t>[10공영2-01-05]</t>
  </si>
  <si>
    <t>[10공영2-01-06]</t>
  </si>
  <si>
    <t>[10공영2-01-07]</t>
  </si>
  <si>
    <t>다양한 매체의 말이나 글을 비판적으로 이해한다.</t>
  </si>
  <si>
    <t>이 성취기준은 다양한 매체를 통해 듣거나 읽은 내용에 대한 이해와 가치 판단에 있어서, 주장의 타당성이나 근거의 적절성에 대해 분석하고 정보의 편향성이 있는지 판단하여 내용을 비판적으로 이해하는 것이다. 화자나 필자가 사용하는 표현의 특징이나 전략 등을 파악하고, 다양한 관점이나 가치 기준을 고려하여 듣거나 읽음으로써 내용에 대한 비판적 이해력을 함양한다.</t>
  </si>
  <si>
    <t>[10공영2-01-08]</t>
  </si>
  <si>
    <t>[10공영2-02-01]</t>
  </si>
  <si>
    <t>[10공영2-02-02]</t>
  </si>
  <si>
    <t>[10공영2-02-03]</t>
  </si>
  <si>
    <t>[10공영2-02-04]</t>
  </si>
  <si>
    <t>[10공영2-02-05]</t>
  </si>
  <si>
    <t>[10공영2-02-06]</t>
  </si>
  <si>
    <t>다양한 소통의 목적에 맞게 말하거나 글로 표현한다.</t>
  </si>
  <si>
    <t>이 성취기준은 소통하려는 목적과 대상에 맞게 내용과 형식을 갖추어 말이나 글로 표현함으로써 언어를 통한 다양한 의사소통 목적을 달성하는 것이다. 요청, 감사, 신청, 초대, 사과, 제안, 위로 등 다양한 소통 목적에 맞게 소통하는 대상과의 관계를 고려하여 언어 예절을 갖추어 내용을 말하거나 쓴다.</t>
  </si>
  <si>
    <t>[10공영2-02-07]</t>
  </si>
  <si>
    <t>[10공영2-02-08]</t>
  </si>
  <si>
    <t>[10공영2-02-09]</t>
  </si>
  <si>
    <t>다른 사람과 의견을 조율하며 문제 해결을 위해 협력한다.</t>
  </si>
  <si>
    <t>이 성취기준은 다른 사람과 서로 의견을 교환하고 조율하며 소통을 통해 문제를 해결하는 협력적인 태도를 의미하는 것이다. 다른 사람의 의견을 경청하고 자신의 의견을 논리적으로 제시하며 합의 및 문제 해결에 이르는 과정을 경험함으로써 민주적 의사 결정 과정을 체화한다.</t>
  </si>
  <si>
    <t>[10기영1-01-01]</t>
  </si>
  <si>
    <t>말이나 글의 세부 정보를 파악한다.</t>
  </si>
  <si>
    <t>[10기영1-01-02]</t>
  </si>
  <si>
    <t>[10기영1-01-03]</t>
  </si>
  <si>
    <t>화자나 필자 또는 인물의 의도 및 목적을 파악한다.</t>
  </si>
  <si>
    <t>[10기영1-01-04]</t>
  </si>
  <si>
    <t>화자나 필자 또는 인물의 심정이나 태도를 파악한다.</t>
  </si>
  <si>
    <t>[10기영1-01-05]</t>
  </si>
  <si>
    <t>말이나 글에 나타난 일이나 사건의 절차나 순서를 파악한다.</t>
  </si>
  <si>
    <t>[10기영1-01-06]</t>
  </si>
  <si>
    <t>이 성취기준은 말이나 글에서 서론, 본론, 결론 등의 구성 체계나 내용의 전개 방식을 파악하는 것을 의미한다. 효과적으로 주제를 전달하기 위해 화자나 필자가 선택하는 서사, 분류, 인과, 정의, 상세화, 예시, 비교, 대조, 문제와 해결 등의 다양한 글의 구조를 이해하게 된다.</t>
  </si>
  <si>
    <t>[10기영1-01-07]</t>
  </si>
  <si>
    <t>적절한 듣기 또는 읽기 전략을 적용하고 성찰한다.</t>
  </si>
  <si>
    <t>이 성취기준은 청자와 독자로서 상대를 배려하며 적절한 이해 전략을 선택하여 적용할 수 있는 것을 말한다. 이를 위해 청자는 화자가 보여 주는 다양한 소통 방식을 이해하고 존중하는 자세가 필요하며, 독자는 필자의 의도를 이해하기 위해 읽기 과정에서 자신의 읽기 방법을 조정할 필요가 있다. 또한 선택하여 적용한 듣기 및 읽기 전략의 효과를 스스로 성찰하여 더 나은 선택이 무엇인지를 평가한다.</t>
  </si>
  <si>
    <t>[10기영1-01-08]</t>
  </si>
  <si>
    <t>다양한 매체로 듣거나 읽으며 학습 동기를 형성한다.</t>
  </si>
  <si>
    <t>이 성취기준은 학습자가 다양한 매체를 통해 전달되는 정보나 지식을 듣거나 읽으며 의미를 이해하는 즐거움을 알고, 다양한 자료를 스스로 찾아 듣거나 읽으며 매체를 통해 전달된 정보나 지식을 더 깊이 이해하고자 하는 것을 말한다. 인쇄 매체, 영상 매체, 인터넷 매체, 상호 작용 매체 등을 자기주도적으로 활용하며 학습 동기를 높인다.</t>
  </si>
  <si>
    <t>[10기영1-02-01]</t>
  </si>
  <si>
    <t>실물, 그림, 사진, 도표 등에 포함된 사실적 정보를 설명한다.</t>
  </si>
  <si>
    <t>[10기영1-02-02]</t>
  </si>
  <si>
    <t>경험이나 사건을 묘사한다.</t>
  </si>
  <si>
    <t>[10기영1-02-03]</t>
  </si>
  <si>
    <t>자신의 의견이나 감정을 표현한다.</t>
  </si>
  <si>
    <t>[10기영1-02-04]</t>
  </si>
  <si>
    <t>목적에 적합한 매체를 활용하여 정보를 전달한다.</t>
  </si>
  <si>
    <t>이 성취기준은 책, 신문, 잡지, 라디오, 사진, 광고, 텔레비전, 인터넷 등과 같이 다양한 메시지를 전달하는 소통 수단이 가진 상호 작용 방식이나 언어적 특징을 고려하여 말이나 글로 정보를 전달하는 것을 말한다. 표현하고자 하는 목적과 의도에 적절한 매체를 선택하고 문자 이외의 시각적 이미지나 도표 등의 배치 방식이 가지는 의미와 적절성도 함께 고려한다.</t>
  </si>
  <si>
    <t>[10기영1-02-05]</t>
  </si>
  <si>
    <t>주어진 서식에 맞게 말하거나 글을 쓸 수 있다.</t>
  </si>
  <si>
    <t>이 성취기준은 간단한 서식이나 양식이 요구하는 부분을 말하거나 글로 완성하는 것을 의미한다. 학습자는 자기소개서, 신청서, 보고서, 이메일, 댓글 양식 등 일반적으로 통용되는 서식에 맞추어 자신이 표현하고자 하는 내용을 비교적 간략하고 명확하게 말하거나 적는다.</t>
  </si>
  <si>
    <t>[10기영1-02-06]</t>
  </si>
  <si>
    <t>말이나 글의 목적에 맞게 내용이나 표현을 점검하여 고쳐 쓴다.</t>
  </si>
  <si>
    <t>이 성취기준은 말이나 글의 정확성과 전달력을 높이기 위해 맥락을 고려하여 그 내용과 형식을 점검하고 다시 고쳐 쓰는 것을 의미한다.</t>
  </si>
  <si>
    <t>[10기영1-02-07]</t>
  </si>
  <si>
    <t>적절한 말하기 또는 쓰기 전략을 적용하고 성찰한다.</t>
  </si>
  <si>
    <t>이 성취기준은 상대방과 소통을 유의미하게 이어가거나 소통하고자 하는 메시지를 효과적으로 전달하면서 제시된 문제를 해결하기 위해 적절한 전략을 활용하는 것을 의미한다. 학습자는 핵심 단어 반복하기, 재구성하기, 우회적으로 표현하기, 쉬운 말로 대체하기, 질문하거나 환기하기, 예시나 근거 들기, 통계 자료 제시하기 등 다양한 소통 목적에 맞게 적절한 전략을 적용하여 말하기 및 쓰기 능력을 향상시키고, 이러한 전략 사용의 효과를 스스로 성찰하고 평가한다.</t>
  </si>
  <si>
    <t>[10기영1-02-08]</t>
  </si>
  <si>
    <t>의사소통 활동에 흥미와 자신감을 가지고 능동적으로 참여한다.</t>
  </si>
  <si>
    <t>[10기영2-01-01]</t>
  </si>
  <si>
    <t>[10기영2-01-02]</t>
  </si>
  <si>
    <t>[10기영2-01-03]</t>
  </si>
  <si>
    <t>화자나 필자 또는 인물의 의도 및 목적을 근거를 찾아 파악한다.</t>
  </si>
  <si>
    <t>이 성취기준은 듣거나 읽으면서 이해한 정보나 자료 속 화자나 필자 또는 인물의 의도나 목적을 근거와 연관하여 파악할 수 있음을 의미한다.</t>
  </si>
  <si>
    <t>[10기영2-01-04]</t>
  </si>
  <si>
    <t>화자나 필자 또는 인물의 심정이나 태도를 근거를 찾아 파악한다.</t>
  </si>
  <si>
    <t>이 성취기준은 듣거나 읽으면서 이해한 정보나 자료 속 화자나 필자 또는 인물의 심정이나 태도를 근거와 연관하여 파악할 수 있음을 의미한다. 파악한 정보의 근거를 찾아보는 것이 정확한 이해에 도움이 된다.</t>
  </si>
  <si>
    <t>[10기영2-01-05]</t>
  </si>
  <si>
    <t>[10기영2-01-06]</t>
  </si>
  <si>
    <t>말이나 글의 전개 구조 및 논리적 관계를 파악한다.</t>
  </si>
  <si>
    <t>이 성취기준은 말이나 글에서 서론, 본론, 결론의 구성 및 서사, 분류, 인과, 정의, 상세화, 예시, 비교, 대조, 문제와 해결 등의 다양한 구조를 파악하는 것을 의미한다. 또한 말이나 글의 각 부분이 서로 논리적으로 연결되는지를 판단한다.</t>
  </si>
  <si>
    <t>[10기영2-01-07]</t>
  </si>
  <si>
    <t>[10기영2-01-08]</t>
  </si>
  <si>
    <t>[10기영2-02-01]</t>
  </si>
  <si>
    <t>[10기영2-02-02]</t>
  </si>
  <si>
    <t>[10기영2-02-03]</t>
  </si>
  <si>
    <t>의견이나 감정을 근거를 들어 표현한다.</t>
  </si>
  <si>
    <t>이 성취기준은 듣거나 읽으면서 이해한 정보나 자료에 대한 의견이나 감정을 근거를 들어 표현할 수 있음을 의미한다. 근거를 바탕으로 의견과 감정을 표현함으로써 객관성과 신뢰성을 높인다.</t>
  </si>
  <si>
    <t>[10기영2-02-04]</t>
  </si>
  <si>
    <t>[10기영2-02-05]</t>
  </si>
  <si>
    <t>주어진 서식을 활용하여 말하거나 글을 쓴다.</t>
  </si>
  <si>
    <t>이 성취기준은 서식의 구조에 맞추어 기입한 정보를 재구조화하고 간단하게 요약하여 말하거나 기술하는 것을 의미한다.</t>
  </si>
  <si>
    <t>[10기영2-02-06]</t>
  </si>
  <si>
    <t>[10기영2-02-07]</t>
  </si>
  <si>
    <t>[10기영2-02-08]</t>
  </si>
  <si>
    <t>이 성취기준은 상대의 입장과 감정을 고려하고 공감하는 자세로 생각과 느낌을 공유하면서 소통의 즐거움을 깨닫고 능동적으로 의사소통에 참여하는 것을 의미한다. 실수를 두려워하지 않고 자신 있게 생각이나 감정을 표현하고 열린 마음으로 타인 및 대상과 소통하는 태도를 기른다.</t>
  </si>
  <si>
    <t>[12영독01-01]</t>
  </si>
  <si>
    <t>글의 세부 정보를 파악한다.</t>
  </si>
  <si>
    <t>[12영독01-02]</t>
  </si>
  <si>
    <t>글의 주제나 요지를 파악한다.</t>
  </si>
  <si>
    <t>[12영독01-03]</t>
  </si>
  <si>
    <t>화자나 필자의 심정이나 의도를 추론한다.</t>
  </si>
  <si>
    <t>이 성취기준은 글의 맥락이나 흐름을 통해 명시적으로 드러나지 않은 화자나 필자 또는 글 속 인물의 심정이나 어조, 의도나 목적을 추론하는 것이다. 학습자는 글의 분위기나 상황 등 글에 나타난 맥락을 파악하여 타인의 다양한 의견이나 감정을 이해하고 공감하는 태도를 갖춘다.</t>
  </si>
  <si>
    <t>[12영독01-04]</t>
  </si>
  <si>
    <t>글의 구조를 고려하여 내용의 논리적 관계를 파악한다.</t>
  </si>
  <si>
    <t>이 성취기준은 글에 기술된 사건의 시간 및 순서, 전후 관계, 인과 관계, 비교⋅대조 관계 등을 분석하여 글의 논리적 관계를 파악하는 것이다. 학습자는 글의 내용 흐름에 따라 다양한 논리적 관계를 분석하고 종합적으로 이해하는 능력을 기른다.</t>
  </si>
  <si>
    <t>[12영독01-05]</t>
  </si>
  <si>
    <t>글의 맥락과 배경지식을 활용하여 함축적 의미를 추론한다.</t>
  </si>
  <si>
    <t>이 성취기준은 글을 읽고 문자적인 의미뿐만 아니라, 문맥상 내포되어 있는 의미를 추론하는 것이다. 학습자는 명시적으로 드러나지 않은 어구, 문장, 관용 표현 등을 추론하는 활동을 함으로써 문학적⋅창의적 표현을 이해하고 공감하는 능력을 기른다.</t>
  </si>
  <si>
    <t>[12영독01-06]</t>
  </si>
  <si>
    <t>글의 전개 방식이나 구조를 파악한다.</t>
  </si>
  <si>
    <t>[12영독01-07]</t>
  </si>
  <si>
    <t>다양한 매체로 표현된 정보를 파악한다.</t>
  </si>
  <si>
    <t>이 성취기준은 다양한 매체의 특성을 이해하고 매체를 통해 전달된 정보를 파악하는 것이다. 학습자는 책, 신문, 소셜 미디어, 광고 등 다양한 매체에서 나타나는 형식과 구조, 표현 방식 등을 이해함으로써 매체로 표현된 정보의 내용을 파악한다.</t>
  </si>
  <si>
    <t>[12영독01-08]</t>
  </si>
  <si>
    <t>다양한 의견과 문화에 대한 공감적 이해와 포용적 태도를 가진다.</t>
  </si>
  <si>
    <t>이 성취기준은 글에 나타난 다양한 의견, 문화, 관점 등에 대해 공감적으로 이해하는 것이다. 학습자는 글을 읽으면서 언어 지식뿐만 아니라 사회⋅문화적 배경지식을 이해하고 수용함으로써 포용적 태도와 문화적 감수성을 기른다.</t>
  </si>
  <si>
    <t>[12영독01-09]</t>
  </si>
  <si>
    <t>적절한 읽기 전략을 적용하여 자기주도적으로 읽기 활동에 참여한다.</t>
  </si>
  <si>
    <t>이 성취기준은 글의 유형과 글을 읽는 목적에 따라 적절한 읽기 전략을 적용하여 읽기를 효율적으로 수행하는 것이다. 학습자는 읽기 전략을 계획하고 실행하면서 자기주도적 읽기 활동에 보다 적극적으로 참여한다.</t>
  </si>
  <si>
    <t>[12영독02-01]</t>
  </si>
  <si>
    <t>다양한 주제에 대한 사실적 정보를 글로 설명한다.</t>
  </si>
  <si>
    <t>[12영독02-02]</t>
  </si>
  <si>
    <t>자신의 경험이나 계획, 사건을 글로 설명한다.</t>
  </si>
  <si>
    <t>[12영독02-03]</t>
  </si>
  <si>
    <t>포용적 태도로 자신의 의견이나 감정을 제시한다.</t>
  </si>
  <si>
    <t>[12영독02-04]</t>
  </si>
  <si>
    <t>읽은 내용을 재구성하여 요약한다.</t>
  </si>
  <si>
    <t>이 성취기준은 읽은 내용에 대해 주제 및 요지, 필자의 의도나 목적 등을 파악하여 요약하는 것으로, 핵심이 되는 내용을 바탕으로 주제가 잘 드러나도록 재구성하여 글을 쓰는 것이다. 이는 글에 대한 전반적인 이해 수준을 파악할 수 있으며, 학습자는 다양한 일상적인 자료나 매체에서 접하게 되는 내용을 주제 및 요지 등이 포함되도록 논리적으로 조직하고 표현하는 활동에 참여한다.</t>
  </si>
  <si>
    <t>[12영독02-05]</t>
  </si>
  <si>
    <t>자기소개서, 이력서, 이메일 등의 서식을 목적과 형식에 맞게 작성한다.</t>
  </si>
  <si>
    <t>이 성취기준은 자기소개서, 이력서, 이메일 등의 서식을 목적 및 형식에 맞게 작성하는 것이다. 학습자는 다양한 목적과 상황, 전달 매체에 맞는 글쓰기 활동을 통해 의미를 구성하고 상대방과의 관계를 반영하여 올바른 의미를 전달할 수 있는 사회적 상호 작용으로서의 쓰기 활동에 참여한다.</t>
  </si>
  <si>
    <t>[12영독02-06]</t>
  </si>
  <si>
    <t>내용이나 형식에 맞게 점검하고 쓰기 윤리를 준수하여 고쳐 쓴다.</t>
  </si>
  <si>
    <t>이 성취기준은 교사, 동료, 스스로의 점검 등을 통해 글을 반복적으로 검토하고 수정하는 과정을 중심으로 완성된 글을 쓰는 것이다. 학습자는 언어 형식, 글의 구조, 전개 방식 등을 스스로의 점검, 교사, 동료의 피드백을 통해 자신의 논지나 관점에 부합하도록 재구성하고 쓰기 윤리를 준수하여 글을 쓰는 능력을 기른다.</t>
  </si>
  <si>
    <t>[12영독02-07]</t>
  </si>
  <si>
    <t>다양한 매체를 활용하여 형식 및 목적에 맞게 정보를 전달한다.</t>
  </si>
  <si>
    <t>이 성취기준은 인쇄물, 영상, 온라인 매체 등의 특성을 이해하고 다양한 매체를 활용하여 형식 및 목적 등에 맞게 정보를 전달하는 것이다. 학습자는 독자의 특성과 반응을 고려하여 적절한 내용과 매체를 선정할 수 있는 능력과 다양한 매체를 활용할 수 있는 디지털 리터러시를 기른다.</t>
  </si>
  <si>
    <t>[12영독02-08]</t>
  </si>
  <si>
    <t>적절한 쓰기 전략을 적용하여 자기주도적으로 쓰기 활동에 참여한다.</t>
  </si>
  <si>
    <t>[12직영01-01]</t>
  </si>
  <si>
    <t>진로 및 직무 관련 주제에 관하여 주요 내용을 파악한다.</t>
  </si>
  <si>
    <t>[12직영01-02]</t>
  </si>
  <si>
    <t>직무 수행과 관련된 말이나 대화를 듣고 상황 및 화자 간의 관계를 파악한다.</t>
  </si>
  <si>
    <t>이 성취기준은 다양한 직무 수행과 관련된 말이나 대화를 듣고 주어진 맥락을 통해 말이나 대화의 상황이나 화자 간의 관계를 파악하는 것이다. 학습자는 상황이나 화자 간의 관계를 파악할 수 있는 단서를 맥락 속에서 찾아낼 수 있다.</t>
  </si>
  <si>
    <t>[12직영01-03]</t>
  </si>
  <si>
    <t>진로 탐색 및 직무 수행과 관련된 일이나 사건의 절차나 순서를 파악한다.</t>
  </si>
  <si>
    <t>이 성취기준은 진로 탐색 및 직무 수행에 관한 말을 듣거나 글을 읽고 일이나 사건을 절차나 순서에 맞게 배열하거나 인과 관계 등을 파악하는 것이다. 학습자는 말과 글의 전개 방식, 지시어나 연결어 등을 파악하여 그 구조를 이해할 수 있다.</t>
  </si>
  <si>
    <t>[12직영01-04]</t>
  </si>
  <si>
    <t>직무 수행과 관련된 정보에 대해 적절한 의사소통 전략을 적용하여 묻고 답한다.</t>
  </si>
  <si>
    <t>이 성취기준은 다양한 직무 수행 상황에서 적절한 의사소통 전략을 적용하여 상대방 또는 여러 사람과 정보에 대해 묻고 답하면서 상호 작용하는 것이다. 학습자는 효과적인 의사소통을 하기 위해 생략하기, 풀어서 말하기, 재구성하기, 우회적으로 표현하기, 쉬운 말로 대체하기, 반복하기 등의 적절한 의사소통 전략을 사용한다.</t>
  </si>
  <si>
    <t>[12직영01-05]</t>
  </si>
  <si>
    <t>직무 수행과 관련된 사실적 정보를 다양한 매체를 활용하여 재구성하여 전달한다.</t>
  </si>
  <si>
    <t>이 성취기준은 직무 수행과 관련된 사실적 정보를 전달할 때 다양한 매체를 직무 상황에 응용하여 내용의 전달력을 높이는 것이다. 학습자는 사진, 도표, 뉴스, 신문 기사, 동영상 등의 매체를 활용하여 주어진 상황이나 목적에 맞게 정보를 체계적으로 재구성하고 적절한 어휘와 표현을 사용하여 그 정보를 전달한다.</t>
  </si>
  <si>
    <t>[12직영01-06]</t>
  </si>
  <si>
    <t>진로 탐색 및 직무 수행 상황이나 목적에 맞는 서식의 글을 작성한다.</t>
  </si>
  <si>
    <t>이 성취기준은 진로 탐색 및 직무 수행에서 상황과 목적에 맞는 서식의 글을 작성하는 것이다. 학습자는 글을 쓰는 목적과 상황에 적합한 어휘나 표현을 활용하고 적절한 쓰기 전략을 적용하여 이메일, 안내문, 경고문, 광고, 메모, 자기소개서, 이력서, 계획서, 보고서, 게시 글 등 다양한 유형의 글을 작성한다.</t>
  </si>
  <si>
    <t>[12직영01-07]</t>
  </si>
  <si>
    <t>직무와 관련된 문화의 다양성에 대해 공감하며 협력적으로 소통하는 태도를 가진다.</t>
  </si>
  <si>
    <t>이 성취기준은 직무 상황에서 다양한 문화에 대해 이해하고 존중하는 협력적인 태도를 함양하는 것이다. 학습자는 언어⋅문화적 배경이 다른 사람과 의사소통하는 직무 상황에서 타 문화에 대해 이해하고 문화 다양성을 존중하며 공감하는 태도를 지닌다.</t>
  </si>
  <si>
    <t>[12직영01-08]</t>
  </si>
  <si>
    <t>직무 의사소통과 관련하여 개인의 권리와 정보 보안에 대한 책무성을 인식한다.</t>
  </si>
  <si>
    <t>이 성취기준은 직무 의사소통 상황에서 개인의 정보 보안 의무를 준수하고 정보 윤리의 책무성을 인식하는 것이다.</t>
  </si>
  <si>
    <t>[12영발01-01]</t>
  </si>
  <si>
    <t>발표의 목적과 맥락에 맞게 정보를 수집하고 발표 개요를 준비한다.</t>
  </si>
  <si>
    <t>[12영발01-02]</t>
  </si>
  <si>
    <t>자신이 경험한 일화나 듣거나 읽은 이야기를 이야기 구조에 맞게 소개한다.</t>
  </si>
  <si>
    <t>이 성취기준은 배경, 등장인물, 목적, 갈등, 결말의 이야기 구조에 맞추어 일화를 스토리텔링(storytelling) 형식으로 발표하는 것을 의미한다. 학습자는 비유, 과장, 반복, 리듬, 의성어 등의 수사법과 대화체 등을 활용하여 생동감 있게 상황을 묘사하며 이야기를 전달한다.</t>
  </si>
  <si>
    <t>[12영발01-03]</t>
  </si>
  <si>
    <t>사물, 개념, 방법, 절차, 통계 자료 등에 대한 사실적 정보를 설명한다.</t>
  </si>
  <si>
    <t>이 성취기준은 다양한 사실적 정보의 세부 내용을 설명하는 ‘정보 전달 연설’ 형태로 발표하는 것이다. 학습자는 사물이나 개념, 그림, 사진, 도표 등의 정보를 전달하거나 일이나 과업의 수행 방법이나 절차를 객관적으로 설명한다.</t>
  </si>
  <si>
    <t>[12영발01-04]</t>
  </si>
  <si>
    <t>사실, 가치, 정책 등에 대한 자신의 관점을 설득력 있게 전달한다.</t>
  </si>
  <si>
    <t>이 성취기준은 자신의 생각이나 의견을 상대방에게 주장하거나 설득하는 ‘설득적 연설’ 형태로 발표하는 것이다. 학습자는 자신의 관점이나 주장을 명확하게 제시하고 그것을 뒷받침할 수 있는 타당한 논거를 제시하며 설득력 있는 표현 전략을 활용하여 청중을 설득한다. 설득의 전략으로 이성, 감성, 인성에 호소하는 방식을 적용하여 자신의 주장을 효과적으로 전달한다.</t>
  </si>
  <si>
    <t>[12영발01-05]</t>
  </si>
  <si>
    <t>다양한 매체를 활용하여 정보 윤리를 준수하며 발표한다.</t>
  </si>
  <si>
    <t>이 성취기준은 주제와 관련된 적절한 매체를 선택하여 발표에 응용함으로써 내용의 전달력을 높이는 능력을 기르기 위한 것이다. 학습자는 효과적인 발표를 위해 사진, 도표, 뉴스, 신문 기사, 동영상 등의 매체를 통해 주제와 목적에 맞는 자료를 검색⋅수집하고 정리하는 활동을 한다. 이때 인용한 내용의 출처를 정확하게 언급하고 적절한 인용 방식을 취함으로써 표절 예방을 위한 정보 윤리 의식을 기른다.</t>
  </si>
  <si>
    <t>[12영발01-06]</t>
  </si>
  <si>
    <t>문화 간 다양한 언어적⋅비언어적 의사소통 방식을 이해하고 적용한다.</t>
  </si>
  <si>
    <t>이 성취기준은 다양한 문화에서 사용되는 언어적⋅비언어적 의사소통 방식의 차이를 이해하여 효과적인 의사소통을 제고하는 것이다. 학습자가 여러 문화권에서 사용하는 영어의 다양한 억양과 비언어적 특징을 접하며 다양성을 인식하고 존중하는 태도를 기름으로써 세계 영어의 다양성을 포용하는 세계시민으로서의 소양을 갖추는 것을 의미한다.</t>
  </si>
  <si>
    <t>[12영발01-07]</t>
  </si>
  <si>
    <t>적절한 발표 기법 및 의사소통 전략을 적용한다.</t>
  </si>
  <si>
    <t>이 성취기준은 화제의 전환을 유도하는 담화 표지를 사용하고 적절한 발표 전략을 활용하여 효과적으로 자신의 생각이나 의견을 전달하는 것이다. 화제의 전환, 맺음말 등을 유도하는 담화 표지 사용하기 및 바꿔 말하기, 핵심어 강조하기, 관용구 사용, 비언어적 의사소통 방식 사용하기 등의 발표 전략을 활용하여 학습자가 효과적으로 자신의 생각이나 의견을 전달하는 것을 의미한다.</t>
  </si>
  <si>
    <t>[12영발01-08]</t>
  </si>
  <si>
    <t>발표 과정 및 결과에 대해서 평가하고 비판적으로 성찰한다.</t>
  </si>
  <si>
    <t>[12영발02-01]</t>
  </si>
  <si>
    <t>토론의 목적과 맥락에 맞게 정보를 수집하고 토론 개요를 준비한다.</t>
  </si>
  <si>
    <t>[12영발02-02]</t>
  </si>
  <si>
    <t>학술 자료, 통계, 사례 등 주장에 대한 근거를 설명한다.</t>
  </si>
  <si>
    <t>[12영발02-03]</t>
  </si>
  <si>
    <t>토론 논제에 대한 자신의 관점을 설득력 있게 전달한다.</t>
  </si>
  <si>
    <t>이 성취기준은 논제에 대한 입장을 정하고 주장을 뒷받침할 만한 타당한 논리적 근거를 찾아 자신의 의견을 설득력 있게 전달하는 것이다. 설득의 전략으로 이성, 감성, 인성에 호소하는 방식을 적용하여 자신의 주장을 효과적으로 전달한다.</t>
  </si>
  <si>
    <t>[12영발02-04]</t>
  </si>
  <si>
    <t>상대방 주장의 논리를 분석하여 반대 심문하며 토론한다.</t>
  </si>
  <si>
    <t>이 성취기준은 다양한 주제에 관하여 상대방의 주장을 비판적으로 분석⋅평가하고 논리적으로 반박하며 토의⋅토론하는 것을 의미한다. 학습자는 상대방의 주장에서 논리적 오류를 찾아내고 반박함으로써 비판적으로 토의⋅토론한다.</t>
  </si>
  <si>
    <t>[12영발02-05]</t>
  </si>
  <si>
    <t>다양한 매체를 활용하여 정보 윤리를 준수하며 토론한다.</t>
  </si>
  <si>
    <t>[12영발02-06]</t>
  </si>
  <si>
    <t>[12영발02-07]</t>
  </si>
  <si>
    <t>적절한 토론 기법 및 의사소통 전략을 적용한다.</t>
  </si>
  <si>
    <t>이 성취기준은 입론, 질문, 반론, 최종 발언 등에 해당하는 적절한 토론 절차와 효과적인 의사소통 전략을 적용하여 토의⋅토론하는 것이다. 화제의 전환이나 맺음말 등을 유도하는 담화 표지 사용하기 및 바꿔 말하기, 핵심어 강조하기, 비언어적 의사소통 방식 사용하기 등의 전략을 활용하여 학습자가 효과적으로 자신의 생각이나 의견을 전달하는 것을 의미한다.</t>
  </si>
  <si>
    <t>[12영발02-08]</t>
  </si>
  <si>
    <t>토론 과정 및 결과에 대해서 평가하고 비판적으로 성찰한다.</t>
  </si>
  <si>
    <t>[12심영01-01]</t>
  </si>
  <si>
    <t>다양한 주제나 기초 학문 분야 주제의 말이나 글의 주요 내용을 파악한다.</t>
  </si>
  <si>
    <t>[12심영01-02]</t>
  </si>
  <si>
    <t>다양한 장르의 말이나 글에서 화자, 필자, 등장인물 등의 심정이나 의도를 추론한다.</t>
  </si>
  <si>
    <t>[12심영01-03]</t>
  </si>
  <si>
    <t>다양한 장르의 말이나 글을 듣거나 읽고 이어질 내용을 예측한다.</t>
  </si>
  <si>
    <t>이 성취기준은 말을 듣거나 글을 읽고 뒤에 이어질 내용에 대해 추론하는 것이다. 말이나 글의 상황이나 맥락, 화자나 필자의 의도를 이해하여 다음에 이어질 내용을 예측함으로써 전체의 흐름을 파악한다.</t>
  </si>
  <si>
    <t>[12심영01-04]</t>
  </si>
  <si>
    <t>말이나 글의 구성 방식을 파악하여 내용의 논리적 관계를 추론한다.</t>
  </si>
  <si>
    <t>[12심영01-05]</t>
  </si>
  <si>
    <t>말이나 글로 표현된 어휘, 어구, 문장의 함축적 의미를 맥락에 맞게 추론한다.</t>
  </si>
  <si>
    <t>[12심영01-06]</t>
  </si>
  <si>
    <t>다양한 매체의 말이나 글에 표현된 의견이나 주장을 비판적으로 평가한다.</t>
  </si>
  <si>
    <t>이 성취기준은 다양한 매체를 통해 표현된 말이나 글의 내용을 타당성, 신뢰성, 객관성 등을 고려하여 비판적인 시각으로 평가하는 것이다. 말이나 글에 나타난 사실과 의견을 구분하고 화자나 필자의 가치관과 태도를 분석⋅평가하며 다양한 관점으로 말과 글을 재구성하여 비판적으로 해석한다.</t>
  </si>
  <si>
    <t>[12심영01-07]</t>
  </si>
  <si>
    <t>우리 문화 및 타 문화의 생활 양식, 사고방식, 의사소통 방식에 관한 말이나 글을 듣거나 읽고 문화의 다양성에 대한 포용적인 태도를 기른다.</t>
  </si>
  <si>
    <t>이 성취기준은 문화 간 차이에서 오는 의사소통 방식, 생활 양식, 사고방식의 차이를 이해하고 문화의 다양성을 존중하는 포용적인 태도를 통해 세계시민으로서의 소양을 함양하기 위한 것이다.</t>
  </si>
  <si>
    <t>[12심영01-08]</t>
  </si>
  <si>
    <t>적절한 전략을 적용하여 다양한 매체로 표현된 말이나 글을 이해한다.</t>
  </si>
  <si>
    <t>이 성취기준은 다양한 매체의 특성에 따라 적절한 듣기 또는 읽기 전략을 사용하여 매체로 표현된 말이나 글의 내용을 이해하는 것이다. 학습자는 책, 신문, 잡지, 텔레비전, 라디오, 인터넷 등 다양한 매체의 자료가 가진 특성과 목적에 따라 적절한 전략을 활용하여 매체가 전달하는 내용을 파악한다.</t>
  </si>
  <si>
    <t>[12심영02-01]</t>
  </si>
  <si>
    <t>사실적 정보를 기술하거나 설명한다.</t>
  </si>
  <si>
    <t>[12심영02-02]</t>
  </si>
  <si>
    <t>다양한 장르의 글을 읽고 자신의 감상이나 느낌을 표현한다.</t>
  </si>
  <si>
    <t>이 성취기준은 다양한 장르의 글을 읽고 자신의 감상, 느낌, 생각 등을 적절한 어휘와 언어 형식을 사용하여 말이나 글로 표현하는 것이다. 학습자는 인상적인 내용 또는 기억에 남는 장면이나 사건에 대해 근거를 들어 자신의 감상, 느낌, 생각 등을 말이나 글로 표현한다.</t>
  </si>
  <si>
    <t>[12심영02-03]</t>
  </si>
  <si>
    <t>상대방의 의사소통 방식을 고려하여 의견을 조정하며 토의한다.</t>
  </si>
  <si>
    <t>이 성취기준은 다양한 주제에 관하여 토의하면서 자신의 생각이나 의견을 상대방과 교환하고 협력적으로 의견을 조정하며 의사소통하는 것이다. 학습자는 사실적인 내용에 근거해서 말하고 수용적인 태도로 상대방의 의견을 듣고 조정하여 전달하는 능력을 기른다.</t>
  </si>
  <si>
    <t>[12심영02-04]</t>
  </si>
  <si>
    <t>듣거나 읽은 내용을 자신의 말이나 글로 요약한다.</t>
  </si>
  <si>
    <t>이 성취기준은 다양한 주제에 관해 듣거나 읽은 내용을 명료하게 요약하여 말하거나 글로 쓰는 것이다. 학습자는 말이나 글에 제시된 어휘와 언어 형식을 그대로 원용하기보다는 새로운 어휘와 언어 형식을 사용하여 요약한다.</t>
  </si>
  <si>
    <t>[12심영02-05]</t>
  </si>
  <si>
    <t>말이나 글의 내용을 비교⋅대조한다.</t>
  </si>
  <si>
    <t>이 성취기준은 대립되는 의견이나 주장이 담긴 다양한 정보를 비교⋅대조하고 그 내용을 말이나 글로 표현하는 것이다. 학습자는 상반된 의견이나 주장, 그래프나 도표 등의 정보를 파악하고 유사점과 차이점에 대해 적절한 연결어와 언어 형식을 사용하여 말과 글로 표현한다.</t>
  </si>
  <si>
    <t>[12심영02-06]</t>
  </si>
  <si>
    <t>다양한 매체의 정보를 재구성하여 발표한다.</t>
  </si>
  <si>
    <t>이 성취기준은 다양한 매체를 통해 표현된 정보를 검토하고 분석하여 상대방이 잘 이해할 수 있도록 재구성하여 말이나 글로 표현하는 것이다. 학습자는 인쇄, 영상, 온라인 매체 등을 통해 접하는 다양한 정보의 타당성, 신뢰성, 객관성 등을 비판적으로 검토하고, 목적과 맥락에 맞게 정보를 재구성하여 말이나 글로 표현함으로써 종합적인 사고력을 기른다.</t>
  </si>
  <si>
    <t>[12심영02-07]</t>
  </si>
  <si>
    <t>글의 내용과 형식을 점검하여 정보 윤리에 맞게 고쳐 쓴다.</t>
  </si>
  <si>
    <t>이 성취기준은 특정 주제에 관하여 글의 초안을 작성한 후 교사나 동료 또는 자신의 피드백을 반영하고 글의 주제와 목적을 점검하여 정보 윤리 기준에 맞게 다시 글을 고쳐 쓰는 것이다. 학습자는 추가, 삭제, 재구성 등의 고쳐 쓰기 과정을 통해 자신의 글을 점검하고 성찰함으로써 글의 완성도를 제고하고, 자기주도적 역량과 정보 윤리 소양을 함양하며 글쓰기에 대한 흥미와 자신감을 기른다.</t>
  </si>
  <si>
    <t>[12심영02-08]</t>
  </si>
  <si>
    <t>적절한 전략을 적용하여 다양한 언어⋅문화적 배경을 가진 영어 사용자와 공감하며 소통하는 태도를 가진다.</t>
  </si>
  <si>
    <t>이 성취기준은 타 문화의 의사소통 방식, 생활 양식, 사고방식의 다양성을 우리 문화와 비교⋅분석하여 이해함으로써 언어⋅문화적 배경이 다른 사람과 공감하며 소통하는 것이다. 학습자는 주어진 상황이나 목적에 맞게 말하기나 쓰기 전략을 적용하여 자신의 생각이나 주장을 말이나 글로 표현하며 상호 작용한다.</t>
  </si>
  <si>
    <t>[12영문01-01]</t>
  </si>
  <si>
    <t>다양한 장르와 주제의 문학 작품을 읽고 주요 내용을 요약한다.</t>
  </si>
  <si>
    <t>[12영문01-02]</t>
  </si>
  <si>
    <t>문학 작품을 읽고 필자나 인물의 의도나 목적을 파악한다.</t>
  </si>
  <si>
    <t>[12영문01-03]</t>
  </si>
  <si>
    <t>문학 작품을 읽고 자신의 느낌이나 감상을 공유하고 표현한다.</t>
  </si>
  <si>
    <t>이 성취기준은 작품을 읽고 작품에 대한 느낌과 생각을 발표나 토론 등을 통해 상대방과 공유하고 그 내용을 말이나 글로 표현하는 것을 의미한다. 학습자는 작품에서 감동적이거나 인상적인 내용 또는 기억에 남는 장면이나 사건 등에 대한 자신의 느낌과 생각을 표현하되, 단순히 사건이나 내용을 나열하기보다는 사건이나 내용이 왜 감동적이고 인상적인지 근거를 제시하면서 기술한다.</t>
  </si>
  <si>
    <t>[12영문01-04]</t>
  </si>
  <si>
    <t>이야기나 희곡을 읽고 작품의 구조를 분석하여 구성 요소를 설명한다.</t>
  </si>
  <si>
    <t>이 성취기준은 이야기(소설 등)나 희곡을 읽고 이야기 구조나 희곡의 구성 요소를 분석하고 그것을 말이나 글로 설명하는 것을 의미한다. 학습자는 이야기 구조인 배경(시간과 장소), 인물, 목적, 갈등, 결말이나 희곡의 구성 요소인 발단, 전개, 절정, 하강, 대단원의 구조를 분석하여 문학 장르별 구조로 작용하는 형식적인 틀과 구성 요소 간의 유기적 관계를 파악함으로써, 작품 전체의 내용을 이해하고 문학 감상과 비평의 기초를 다진다.</t>
  </si>
  <si>
    <t>[12영문01-05]</t>
  </si>
  <si>
    <t>시를 읽고 운율, 이미지, 은유, 상징 등의 문학적 비유 표현과 의미를 파악하고, 창의적인 말이나 글의 형태로 표현한다.</t>
  </si>
  <si>
    <t>이 성취기준은 시(동요, 동시 등)에 나타나는 시적 장치가 음악성, 회화성, 상징성, 서사성 등과 같은 시의 특성을 어떻게 구현하는지를 파악함으로써 시를 이해하고 감상하는 기초 능력을 배양하고, 이를 활용하여 특정 주제를 주어진 형태에 맞추어 창의적으로 표현하는 것을 의미한다. 학습자는 시에 나타난 운율, 이미지, 은유, 상징 등의 문학적 표현을 이해하고 그것을 활용하여 주어진 형태에 따라 자신의 생각이나 감정을 표현하는 간단한 형태시 등을 작성해 봄으로써 종합적인 영어 능력을 배양한다.</t>
  </si>
  <si>
    <t>[12영문01-06]</t>
  </si>
  <si>
    <t>다양한 매체를 활용하여 문학 작품의 내용을 다양한 관점으로 분석⋅비평한다.</t>
  </si>
  <si>
    <t>이 성취기준은 작품 해석과 관련된 자료를 다양한 매체를 통해 수집, 분석, 종합하여 새로운 관점에서 작품을 비판적으로 이해하고 표현하는 능력을 기르는 것을 의미한다. 학습자는 작품에 대한 해석을 기존의 비평이나 해석에 의존하지 않고, 작품의 주인공을 다른 등장인물로 대체하여 읽는 등의 방법을 통해 자신의 생각이나 감상을 바탕으로 매체를 활용하고 다양한 자료를 분석⋅종합하여 독창적인 비평문을 작성하거나 발표한다.</t>
  </si>
  <si>
    <t>[12영문01-07]</t>
  </si>
  <si>
    <t>문학 작품을 읽고 우리 문화와 타 문화의 생활 양식, 사고방식, 의사소통 방식의 차이와 다양성에 대해 비교⋅분석한다.</t>
  </si>
  <si>
    <t>이 성취기준은 문화의 한 형태로서 문학 작품에 나타난 타 문화의 생활 양식, 사고방식, 의사소통 방식을 우리 문화와의 비교를 통해 이해하고 문화 간 차이와 다양성을 비교⋅분석하는 능력을 기르는 것을 의미한다. 이를 통해 학습자는 타 문화에 대한 포용적인 태도를 기르고 세계시민으로서의 소양을 함양한다.</t>
  </si>
  <si>
    <t>[12영문01-08]</t>
  </si>
  <si>
    <t>문학 작품을 읽고 표현이나 주제의 예술적 가치에 대한 심미적인 태도를 기른다.</t>
  </si>
  <si>
    <t>이 성취기준은 문학 작품을 하나의 예술 작품으로 이해하고 감상하는 심미적 태도를 기르는 것을 의미한다. 학습자는 문학 작품에 나타난 심미적 표현이나 주제의 의미를 이해하고 감상하는 심미적인 경험을 통해 사회⋅문화적 감수성을 기르며 삶의 의미와 가치를 발견하고 함께 공유한다.</t>
  </si>
  <si>
    <t>[12심독01-01]</t>
  </si>
  <si>
    <t>다양한 분야의 기초 학문 주제에 관한 글을 읽고 주요 내용을 파악한다.</t>
  </si>
  <si>
    <t>[12심독01-02]</t>
  </si>
  <si>
    <t>이야기나 서사 및 운문을 읽고 필자나 등장인물의 심정이나 의도를 추론한다.</t>
  </si>
  <si>
    <t>[12심독01-03]</t>
  </si>
  <si>
    <t>글의 구성 방식을 고려하여 논리적 관계를 추론한다.</t>
  </si>
  <si>
    <t>이 성취기준은 글의 전개 방식이나 구조에 대한 이해를 바탕으로 사건의 순서, 전후 관계, 인과 관계를 추론하는 것이다. 학습자는 글에 사용된 정의, 비교와 대조, 원인과 결과 등의 기술 방식 및 지시어, 연결어, 대용어 등을 분석하며 글에 대한 사실적, 추론적, 종합적 사고 능력을 기른다.</t>
  </si>
  <si>
    <t>[12심독01-04]</t>
  </si>
  <si>
    <t>[12심독01-05]</t>
  </si>
  <si>
    <t>다양한 문학 작품을 읽고 문학적 표현과 의미를 파악한다.</t>
  </si>
  <si>
    <t>이 성취기준은 문학 작품에 나타난 운율, 이미지, 은유, 상징 등의 예와 그 의미를 파악하는 것이다. 학습자는 문학 작품에 나타난 다양한 문학적 표현의 의미를 파악하는 능력을 기름으로써 다양한 언어 표현 방식을 이해하고 심미적인 감수성을 함양한다.</t>
  </si>
  <si>
    <t>[12심독01-06]</t>
  </si>
  <si>
    <t>다양한 유형의 글의 구조와 형식을 비교⋅분석한다.</t>
  </si>
  <si>
    <t>이 성취기준은 이야기나 서사 및 운문, 정보 전달⋅교환을 목적으로 하는 글, 의견 전달⋅교환이나 주장을 목적으로 하는 글 등 다양한 목적이 있는 여러 유형의 글의 전개 방식을 비교하며 글의 구조 및 형식에 대한 이해를 제고하는 것이다. 학습자는 다양한 형식의 글을 비교하며 읽으면서 글의 목적에 따른 글의 구조나 형식의 연관성을 인식하고 분석하는 능력을 기른다.</t>
  </si>
  <si>
    <t>[12심독01-07]</t>
  </si>
  <si>
    <t>다양한 매체의 글의 내용 타당성을 평가하며 비판적으로 읽는다.</t>
  </si>
  <si>
    <t>이 성취기준은 다양한 매체를 통해 접하게 되는 글의 타당성, 신뢰성, 객관성 등을 판단하며 글을 비판적인 시각으로 읽는 것이다. 학습자는 글에 나타난 사실과 의견을 구분하고 필자의 가치관과 태도를 분석⋅평가함으로써 다양한 관점으로 글을 해석할 수 있는 비판적인 독해 능력을 기른다.</t>
  </si>
  <si>
    <t>[12심독01-08]</t>
  </si>
  <si>
    <t>우리 문화 및 타 문화의 생활 양식, 사고방식, 의사소통 방식에 관한 글을 읽고 문화 간 차이에 대해 포용적인 태도를 갖춘다.</t>
  </si>
  <si>
    <t>이 성취기준은 글에 나타난 타 문화의 생활 양식, 사고방식, 의사소통 방식을 우리 문화와 비교하여 이해함으로써 문화 간 차이에 대한 포용적 태도를 기르는 것이다. 학습자는 다양한 문화에 대한 글을 접하고 문화의 다양성에 대한 인식을 높이며 다름을 존중하는 세계시민으로서의 소양을 배양한다.</t>
  </si>
  <si>
    <t>[12심독01-09]</t>
  </si>
  <si>
    <t>적절한 읽기 전략을 적용하여 스스로 읽기 과정을 점검하며 읽는다.</t>
  </si>
  <si>
    <t>이 성취기준은 글의 유형과 글을 읽는 목적에 따라 적절한 읽기 전략을 적용하여 읽기를 효율적으로 수행하고 있는지를 자기주도적으로 점검함으로써 학습자의 상위 인지 능력을 함양하기 위한 것이다. 학습자는 읽기 전략을 계획, 실행, 관찰, 성찰하는 과정을 반복함으로써 능숙한 독자가 되기 위한 전략을 내재화한다.</t>
  </si>
  <si>
    <t>[12심독02-01]</t>
  </si>
  <si>
    <t>다양한 분야의 기초 학문 주제에 관하여 사실적 정보를 기술하거나 설명하는 글을 쓴다.</t>
  </si>
  <si>
    <t>이 성취기준은 특정 주제에 관한 경험이나 사건을 기술하거나, 시각 자료(그림, 사진, 도표 등) 또는 일이나 과업의 수행 방법이나 절차 등과 같은 사실적 정보를 구체적이고 논리적으로 설명하는 글을 쓰는 것이다. 학습자는 독자가 정보를 정확하고 분명하게 이해할 수 있도록 다양하고 풍부한 어휘와 적절한 연결어, 지칭어 등을 효과적으로 활용하여 글의 목적과 맥락에 맞게 글을 쓴다.</t>
  </si>
  <si>
    <t>[12심독02-02]</t>
  </si>
  <si>
    <t>이야기나 서사 및 운문에 대해 자신의 감상이나 느낌을 표현하는 글을 쓴다.</t>
  </si>
  <si>
    <t>[12심독02-03]</t>
  </si>
  <si>
    <t>다양한 주제에 관하여 상대방을 설득하는 글을 쓴다.</t>
  </si>
  <si>
    <t>[12심독02-04]</t>
  </si>
  <si>
    <t>다양한 기초 학문 분야의 주제에 관하여 듣거나 읽고 주요 정보를 요약한다.</t>
  </si>
  <si>
    <t>[12심독02-05]</t>
  </si>
  <si>
    <t>우리 문화 및 타 문화의 생활 양식, 사고방식, 의사소통 방식에 관한 글을 읽고 문화 간 차이에 대해 비교⋅대조하는 글을 쓴다.</t>
  </si>
  <si>
    <t>이 성취기준은 타 문화의 생활 양식, 사고방식, 의사소통 방식과 우리 문화를 비교하여 그 차이와 다양성을 비교⋅대조하는 글을 쓰는 것이다. 학습자는 우리 문화와 타 문화의 유사점, 공통점, 차이점에 대해 적절한 어휘와 연결어, 지시어 등을 활용해 비교⋅대조하는 글을 쓴다.</t>
  </si>
  <si>
    <t>[12심독02-06]</t>
  </si>
  <si>
    <t>다양한 매체 정보를 분석⋅종합⋅비평하여 재구성한다.</t>
  </si>
  <si>
    <t>이 성취기준은 다양한 매체를 통해 듣거나 읽은 정보를 면밀하게 검토하고 분석하여 그 내용을 독자가 잘 이해할 수 있도록 적절한 전략을 통해 재구성하여 글을 쓰는 것이다. 학습자는 인쇄, 영상, 온라인 매체를 통해 접하는 다양한 정보의 타당성과 신뢰성을 검토하고, 목적과 맥락에 맞게 정보를 체계적으로 재구성하는 글쓰기를 통해 종합적인 사고력을 기른다.</t>
  </si>
  <si>
    <t>[12심독02-07]</t>
  </si>
  <si>
    <t>사회적으로 이슈가 되는 주제에 관하여 정보 윤리를 준수하며 비판적이고 독창적인 글을 쓴다.</t>
  </si>
  <si>
    <t>이 성취기준은 다양한 매체의 정보를 수집, 분석, 종합하여 새로운 관점을 독창적으로 표현하는 창의적인 글을 쓰는 것이다. 학습자는 매체를 활용하여 다양한 자료를 분석하고 종합하여 그것을 논리적으로 일관성 있게 표현하는 글쓰기를 통해 비판적 사고력과 창의성을 함양하고, 정보 소통 윤리 및 쓰기 예절에 맞게 글을 쓰며 상호 배려하고 존중하는 태도를 배양한다.</t>
  </si>
  <si>
    <t>[12심독02-08]</t>
  </si>
  <si>
    <t>다양한 분야의 주제에 관하여 적절한 쓰기 전략을 적용하여 글을 점검하고 고쳐 쓴다.</t>
  </si>
  <si>
    <t>이 성취기준은 초안을 쓴 후 교사나 동료, 스스로의 점검을 통해 얻은 피드백을 적절하게 반영하여 다시 글을 쓰는 과정을 통해 글의 완결성을 높이는 것이다. 학습자는 추가, 삭제, 재구성 등과 같은 고쳐 쓰기 과정을 통해 자신의 글을 점검⋅성찰하는 자기주도적 역량과 함께 글쓰기에 대한 흥미와 자신감을 높인다.</t>
  </si>
  <si>
    <t>[12실영01-01]</t>
  </si>
  <si>
    <t>실생활에 관한 말이나 대화를 듣고 핵심 정보를 파악한다.</t>
  </si>
  <si>
    <t>[12실영01-02]</t>
  </si>
  <si>
    <t>실생활에 관한 말이나 대화를 듣고 화자의 의도나 목적을 추론한다.</t>
  </si>
  <si>
    <t>[12실영01-03]</t>
  </si>
  <si>
    <t>자신이나 주변 사람 또는 사물을 자신감 있게 소개한다.</t>
  </si>
  <si>
    <t>이 성취기준은 학습자가 스스로에 대해서뿐만 아니라 주변 사람이나 사물에 대해 자신감 있게 소개하는 것이다. 실생활에서 자신과 주변 사람, 사물을 자신 있고 분명한 목소리로 소개하는 능력을 기르는 것을 의미한다.</t>
  </si>
  <si>
    <t>[12실영01-04]</t>
  </si>
  <si>
    <t>존중과 배려의 자세로 상대방의 말을 경청하고 자신의 의견이나 감정을 표현한다.</t>
  </si>
  <si>
    <t>이 성취기준은 실생활에서 일어나는 일이나 사건에 대해 상대방의 생각과 감정을 존중하고 배려하여 상대방의 말을 경청하고 학습자가 생각하거나 느끼는 바를 표현하는 것이다. 이는 실생활에서 겪는 다양한 일에 대해 비언어적 의사소통 방식(얼굴 표정, 몸동작, 시선 교환 등)을 적절하게 사용하여 상대방의 감정에 대한 이해와 공감을 표시하며 자신의 생각이나 감정을 전달하는 능력을 기르는 것이다. 특히, 언어⋅문화적 배경이 다른 사람과 의사소통할 때 타 문화를 포용하고 존중하는 자세로 경청함으로써 협력적 소통 역량을 기르도록 하는 것이 중요하다.</t>
  </si>
  <si>
    <t>[12실영01-05]</t>
  </si>
  <si>
    <t>실생활에 관한 경험이나 사건 또는 간단한 시각 자료를 묘사한다.</t>
  </si>
  <si>
    <t>이 성취기준은 학습자가 실생활과 관련하여 듣거나 읽은 자료, 간단한 시각 자료(그림, 사진 등)와 같은 사실적 정보를 자신의 발음, 속도, 어휘, 문장 구조 등을 조정하여 구체적으로 묘사하는 것이다. 묘사하는 과정에서 청자의 이해 여부를 점검하는 질문을 사용하여 학습자는 원하는 정보를 전달하는 능력을 기르게 된다. 또한 응집성과 일관성 있는 담화를 구성하기 위해 적절한 담화 표지(연결어, 대명사 등)를 사용한다.</t>
  </si>
  <si>
    <t>[12실영01-06]</t>
  </si>
  <si>
    <t>실생활에 필요한 일의 방법이나 절차를 설명한다.</t>
  </si>
  <si>
    <t>이 성취기준은 일이나 과업의 수행 방법, 절차 등과 같은 사실적 정보를 자신의 발음, 속도, 어휘, 문장 구조 등을 조정하여 청자가 이해할 수 있도록 구체적으로 설명하는 것이다. 설명하는 과정에서 청자에게 이해 여부를 점검하는 질문(예: Do you understand what I’m saying?; Are you with me? 등)을 함으로써 의미 교섭 과정에 참여하여 방법이나 절차를 정확하게 설명하게 한다.</t>
  </si>
  <si>
    <t>[12실영01-07]</t>
  </si>
  <si>
    <t>실생활에서 상황이나 목적에 맞게 대화를 이어 간다.</t>
  </si>
  <si>
    <t>이 성취기준은 화자가 실생활에서 일어나는 여러 가지 대화 상황에서 다양한 목적(인사, 소개하기, 요청하기, 제안하기 등)에 맞게 대화를 이어 가는 것이다. 학습자로 하여금 대화를 시작하고(예: Excuse me, By the way 등), 상대의 반응에 적절하게 반응하며(예: I see, Okay 등), 대화를 종결하기 위한 적절한 표현(예: I’m sorry but I’ve got to go now. 등)을 사용하여 대화에 참여하도록 한다.</t>
  </si>
  <si>
    <t>[12실영01-08]</t>
  </si>
  <si>
    <t>의사소통 상황이나 목적에 맞게 언어적⋅비언어적 표현을 사용하여 반응한다.</t>
  </si>
  <si>
    <t>이 성취기준은 학습자가 의사소통 상황이나 목적에 맞게 언어적⋅비언어적 표현(얼굴 표정, 몸동작, 시선 교환 등)을 사용하여 반응하는 것이다. 학습자가 청자의 말이나 대화의 내용과 의도를 파악하여 언어적 또는 비언어적 표현을 사용하여 적절하게 말하거나 행동할 수 있도록 한다.</t>
  </si>
  <si>
    <t>[12실영01-09]</t>
  </si>
  <si>
    <t>의사소통 상황이나 목적에 맞게 적절한 전략을 적용하여 대화에 참여한다.</t>
  </si>
  <si>
    <t>[12미영01-01]</t>
  </si>
  <si>
    <t>영어 검색 엔진을 활용하여 필요한 정보를 찾아낸다.</t>
  </si>
  <si>
    <t>이 성취기준은 학습자가 영어로 표현된 많은 정보 중에서 필요한 정보를 찾아내기 위해 적절한 검색어를 생각해 내고 글로벌 검색 엔진을 활용하여 검색하는 것이다. 예를 들어 브레인스토밍 활동 시 핵심이 되는 영어 핵심어를 추출하여 정보를 검색하고 필요한 자료를 찾아 체계적으로 정리하는 활동을 할 수 있다.</t>
  </si>
  <si>
    <t>[12미영01-02]</t>
  </si>
  <si>
    <t>다양한 주제에 대한 창의적 문제 해결을 위해 미디어를 활용하여 협업한다.</t>
  </si>
  <si>
    <t>이 성취기준은 학습자가 영어로 표현된 미디어상의 다양한 주제에 대해 네트워크로 연결된 PC나 태블릿 PC 또는 스마트폰에서 다양한 미디어를 활용하여 창의적 문제 해결을 위해 구성원이 공동으로 작업하는 것이다. 학습자가 공동 작업을 할 수 있는 원격 플랫폼이나 원격 도구를 제공하는 온라인 협업 도구를 이용해 서로 협력하여 주어진 과제나 문제를 창의적으로 해결하는 것을 의미한다.</t>
  </si>
  <si>
    <t>[12미영01-03]</t>
  </si>
  <si>
    <t>미디어 정보에서 핵심어를 추출하여 내용을 요약하거나 재구성한다.</t>
  </si>
  <si>
    <t>이 성취기준은 학습자가 다양한 미디어에서 영어로 표현된 주제에 대해 자신의 생각을 요약하여 쓰거나 미디어에서 영어로 표현된 정보를 수집하고 분석하여 이를 창의적으로 재구성하는 것이다. 예를 들어 미디어의 특성을 반영한 다양한 영어 표현을 익히고 자신의 목적에 따라 적합한 어휘, 표현, 문장 구조 등을 활용하여 미디어에 나타난 정</t>
  </si>
  <si>
    <t>[12미영01-04]</t>
  </si>
  <si>
    <t>미디어 정보를 비판적 태도로 검색, 선정, 비교 및 분석한다.</t>
  </si>
  <si>
    <t>이 성취기준은 학습자가 다양한 미디어를 활용하여 미디어에서 다루는 다양한 주제나 소재 및 상황이나 맥락을 경험하고 이에 관해 상대방과 자신의 생각을 나누며 관련 정보를 검색, 선정, 비교, 분석하는 것이다. 예를 들어 책, 신문, 잡지, 방송, 인터넷, 영화, 팝송, 인터넷, 소셜 미디어, 원격 플랫폼, 동영상 플랫폼, 게임과 웹툰, 가상⋅증강⋅혼합 현실 미디어 등 다양한 미디어 속 정보를 목적에 맞게 효과적으로 검색하거나 핵심 정보를 선정하여 그 내용을 비교하거나 비판적으로 분석한다.</t>
  </si>
  <si>
    <t>[12미영01-05]</t>
  </si>
  <si>
    <t>목적이나 대상에 적합한 미디어를 활용하여 의견이나 정보를 공유한다.</t>
  </si>
  <si>
    <t>이 성취기준은 학습자가 목적이나 대상에 적합한 미디어를 선정하고 이를 활용하여 자신의 의견이나 정보를 정보 윤리에 맞게 공유하는 것이다. 예를 들어 영어 댓글 또는 사회 관계망 서비스(SNS) 프로필 등의 짧은 영어 문장 작성하기, 자신의 의견을 짧은 동영상으로 만들어 소셜 미디어에 게시하고 이에 대한 반응을 확인하며 서로 소통하기 등의 활동이 있다.</t>
  </si>
  <si>
    <t>[12미영01-06]</t>
  </si>
  <si>
    <t>미디어 정보를 융합하고 적절한 도구를 활용하여 콘텐츠를 제작한다.</t>
  </si>
  <si>
    <t>이 성취기준은 학습자가 미디어에 대한 이해를 바탕으로 다양한 미디어 정보를 융합하고 미디어의 특성에 적절한 도구를 활용하여 콘텐츠를 만드는 것이다. 예를 들어 시, 팝송, 감상문, 광고문, 포스터, 인포그래픽, 온라인 게시물, 뉴스레터, 차트, 독서 활동 스토리, 메타버스 콘텐츠 등을 제작하는 활동이 있다.</t>
  </si>
  <si>
    <t>[12미영01-07]</t>
  </si>
  <si>
    <t>미디어에서 접하는 다양한 시청각 단서를 이해하거나 적절하게 표현한다.</t>
  </si>
  <si>
    <t>이 성취기준은 학습자가 미디어에서 접하는 다양한 시청각 단서를 이해하고 이를 적절한 방식으로 표현하는 것이다. 예를 들어 텍스트 이외의 다양한 표현 방식(이미지, 색, 소리, 디자인, 하이퍼텍스트, 애니메이션, 이모티콘, 움직임 등)을 포함한 시청각 요소를 통해 표현에 대한 설득력을 증진하도록 하는 것을 의미한다.</t>
  </si>
  <si>
    <t>[12미영01-08]</t>
  </si>
  <si>
    <t>미디어에 제시된 작품을 감상하고 다양한 관점에서 평가한다.</t>
  </si>
  <si>
    <t>이 성취기준은 학습자가 미디어에 제시된 여러 작품을 감상하고 자신의 관점이나 작품 속 등장인물의 관점 등 다양한 시각으로 작품에 대해 평가하는 것이다. 특히, 서로 다른 입장이 드러나 있는 설득을 위한 글이나 영상, 광고문, 편지, 개인 블로그, 온라인 콘텐츠, 메타버스상의 전시회나 박람회 등 여러 유형의 작품을 감상하고 평가할 때는 각각의 관점과 입장을 고려한다.</t>
  </si>
  <si>
    <t>[12미영01-09]</t>
  </si>
  <si>
    <t>미디어 정보를 창의적⋅비판적으로 처리하기 위해 정보의 출처를 확인하고 정보 보안을 준수한다.</t>
  </si>
  <si>
    <t>이 성취기준은 학습자가 다양한 미디어에서 다루는 정보 내용이 사실인지 의견인지를 판단하고, 의도는 무엇인지, 감정이나 생각은 어떻게 변화하는지 등을 이해하는 것이다. 그리고 그 출처를 확인하여 내용을 비판적으로 판단하고 정보 윤리와 정보 보안을 준수하여 표현하거나 정보를 처리하는 것이다.</t>
  </si>
  <si>
    <t>[12미영01-10]</t>
  </si>
  <si>
    <t>오류 수정을 위해 디지털 도구를 적절히 활용한다.</t>
  </si>
  <si>
    <t>이 성취기준은 학습자가 글이나 발표 원고를 작성하고 디지털 도구를 활용하여 오류를 수정하는 것이다. 글을 쓰거나 말로 표현할 때, 디지털 도구를 활용하여 자신이 전달하고자 하는 바를 정확하게 표현하는 것이 포함된다.</t>
  </si>
  <si>
    <t>[12세영01-01]</t>
  </si>
  <si>
    <t>적절한 전략을 사용하여 다양한 장르와 매체의 문화 정보나 문화적 산물의 핵심 내용을 파악한다.</t>
  </si>
  <si>
    <t>[12세영01-02]</t>
  </si>
  <si>
    <t>문화 관련 주요 개념을 적용하여 문화 현상을 분석하고 새로운 관점으로 설명한다.</t>
  </si>
  <si>
    <t>이 성취기준은 다양한 문화 현상을 이해하고 관점을 형성하는 데 필요한 문화 관련 주요 개념을 학습한 후 주어진 문화 현상이 나타난 맥락과 배경에 대한 이해를 바탕으로 해당 현상의 의미를 상세히 설명하거나 자신의 삶에 적용하는 것을 의미한다. 문화 관련 주요 내용으로 문화의 정의, 문화의 속성(변동성, 보편성, 특수성 등), 문화를 이해하는 태도(문화 상대주의, 자문화 중심주의, 문화 사대주의), 문화 정체성(개인주의, 집단주의), 문화 다양성, 문화 다원주의, 문화 고정 관념 등이 있다. 학습자는 수업의 주제나 내용과 관련된 주요 개념을 학습하여 다양한 문화 현상에 대한 지식과 관점을 형성하고 이를 바탕으로 다양한 시각에서 문화 현상을 이해할 수 있다. ⋅문화에 내재된 전제, 관점, 또는 가치관 추론하기⋅문화적 산물을 감상하고 표현하기⋅상황, 목적, 대상을 고려하여 의사소통에 참여하기⋅검색⋅수집한 정보를 요약하거나 목적에 맞게 재구성하기⋅다양한 목적의 문화 콘텐츠 제작하여 공유하기 문화 개념 관련 성취기준 는 가능하면 학습자의 삶에 기반을 둔 깊이 있는 학습으로 이어지도록 설계한다. 학습자의 인지적⋅정의적 특성과 수준을 고려하여 개념의 학습량을 적절히 조절하고, 학습자의 실제 삶과 경험에서 구체적 사례를 찾아보도록 유도하여 배움을 실생활에 적용하면서 개념을 깊이 이해하도록 돕는다. 가정, 학교, 지역사회에서 자신이 경험하는 문화 현상을 연구 주제로 삼아 해당 개념을 심층적으로 연구하는 탐구 학습을 계획하거나 지역의 다문화 공동체 탐방, 타 문화권 출신 인사 인터뷰나 초청과 같은 지역사회 연계 학습도 가능하다.</t>
  </si>
  <si>
    <t>[12세영01-03]</t>
  </si>
  <si>
    <t>타 문화 및 언어에 대한 존중을 바탕으로 문화 정보를 수용하고 자신의 의견을 표현한다.</t>
  </si>
  <si>
    <t>이 성취기준은 자신의 언어⋅문화적 배경에서 비롯된 고정 관념에서 탈피하여 타 문화와 언어를 있는 그대로 인정하는 자세로 구두, 문자, 영상 등 다양한 문화 정보의 핵심 내용을 이해하고 다양한 방식으로 표현하는 것을 의미한다. 문화 간에 우열이 존재하지 않으며 모든 문화는 서로 다른 자연환경, 역사적 배경, 사회적 상황과 필요에 따라 형성된 것이므로 각자 그 나름대로의 고유한 가치가 있다는 문화 상대주의적인 태도를 통해 글로벌 다문화 시대에 필요한 갈등 해소와 공존의 자세를 기른다.</t>
  </si>
  <si>
    <t>[12세영01-04]</t>
  </si>
  <si>
    <t>문화 현상이나 문화적 산물을 비교⋅대조하여 문화의 보편성과 특수성을 파악한다.</t>
  </si>
  <si>
    <t>이 성취기준은 다양한 문화에서 나타나는 여러 유형의 생활 양식, 사고방식, 의사소통 방식 등에 관한 정보를 이해하고 이들을 비교⋅대조해 봄으로써 여러 문화 사이의 공통점과 차이점을 파악하여 문화의 보편성과 특수성을 파악하는 것이다. 어느 사회에나 특정 문화 요소가 공통으로 존재하는 동시에 나름의 독특한 생활 양식이 존재한다는 문화의 보편성과 특수성에 대한 이해를 통해, 우리 문화는 물론 다른 문화를 더욱 깊이 이해하고 존중하게 된다. 비교, 대조, 분석, 추론, 성찰 등 고차원적 사고를 요하는 , ,</t>
  </si>
  <si>
    <t>[12세영01-05]</t>
  </si>
  <si>
    <t>문화적 산물이나 문화 현상에 내재된 문화적 전제, 관점 또는 가치관을 추론한다.</t>
  </si>
  <si>
    <t>이 성취기준은 문화적 산물이나 현상에 숨어 있는 특정 문화권의 구성원이 공유하는 전제나 관점 또는 가치관을 추론하는 것을 의미한다. 해당 문화권 구성원의 사고방식이나 행동 양식에 결정적인 영향을 미치는 문화적 전제나 관점, 가치관을 파악하여 특정한 문화적 행동과 현상의 원인을 파악하고 그 구성원을 이해하려는 자세를 기른다. 비교, 대조, 분석, 추론, 성찰 등 고차원적 사고를 요하는 , ,</t>
  </si>
  <si>
    <t>[12세영01-06]</t>
  </si>
  <si>
    <t>다른 문화권의 관습, 규범, 가치, 사고방식, 행동 양식 또는 의사소통 방식을 이해하고 자신의 문화 인식 및 관점을 비판적으로 성찰한다.</t>
  </si>
  <si>
    <t>이 성취기준은 세계 문화에 관한 다양한 주제의 정보를 통해 타 문화에 대한 고정 관념이나 편견, 오해 등에 대한 자신의 문화 인식과 관점을 비판적으로 성찰하는 것을 의미한다. 자신이 속한 문화에서는 지극히 정상적으로 여겨지는 행동이나 사고방식이 다른 문화에서는 다르게 인식되거나 해석될 수 있다는 자각을 통해 자문화 중심주의에서 벗어나 세계시민의 관점을 획득하게 된다.</t>
  </si>
  <si>
    <t>[12세영01-07]</t>
  </si>
  <si>
    <t>자발적⋅지속적 관심과 흥미를 가지고 다양한 문화적 산물을 감상하고 표현한다.</t>
  </si>
  <si>
    <t>이 성취기준은 인쇄물, 방송 및 온라인 콘텐츠, 유⋅무형의 문화유산 등 다양한 형태의 문화적 산물을 감상한 뒤 감상의 동기, 감동적이거나 인상적인 내용 또는 기억에 남는 부분에 대한 자신의 느낌과 생각을 여러 방식으로 표현하는 것을 의미한다. 학습자는 문화적 산물을 감상하며 실제로 사용되는 영어를 경험하고 관련 문화의 사고방식, 행동 양식, 역사적 사실이나 인물 등에 관한 배경지식을 형성하게 된다. 감상의 표현에는 감상문, 토의, 발표 등 기존의 말하기나 쓰기뿐만 아니라 그림, 역할극, 마임, 온라인 매체를 활용한 창의적 활동 등이 포함된다.</t>
  </si>
  <si>
    <t>[12세영01-08]</t>
  </si>
  <si>
    <t>세계 영어에 대한 이해를 바탕으로 적절한 전략과 태도를 갖추어 의사소통에 참여한다.</t>
  </si>
  <si>
    <t>이 성취기준은 국제 공용어로서 영어의 위상과 세계 영어의 개념 및 취지에 대한 이해를 바탕으로 의사소통의 상황과 목적, 대상에 맞는 전략, 태도, 격식을 갖추어 다양한 온오프라인 대화나 글쓰기에 참여하는 것을 의미한다. 국제적 소통에서 가장 널리 사용되는 영어의 다양성에 대한 지식과 이해를 갖추고, 차별이나 편견을 내포하는 표현을 배제하고 포용적인 언어를 사용하려는 노력을 통해 글로벌 다문화 시대가 요구하는 의사소통 능력을 기른다.</t>
  </si>
  <si>
    <t>[12세영01-09]</t>
  </si>
  <si>
    <t>다양한 장르와 매체에서 검색⋅수집한 문화 정보를 요약하거나 목적에 맞게 재구성한다.</t>
  </si>
  <si>
    <t>지식과 정보의 구성 및 생산과 관련된 성취기준 , 을 다룰 때는 정보 윤리를 준수하도록 지도한다. 자신이 전달하는 내용에 대한 책임감을 가지고 정보의 정확성과 신뢰성을 평가하도록 지도하고, 특히 문화는 끊임없이 변화하는 속성이 있으므로 정보의 시의성에 유의하도록 안내한다. 또한 학습자가 다양한 매체의 정보를 자신의 결과물에 그대로 베껴 쓰는 것은 정보 윤리에 어긋난다는 것을 숙지할 수 있도록 하고, 표절 방지를 위해 수집한 정보를 자신의 언어로 표현할 수 있도록 자료 인용 방법, 요약하기, 다른 말로 바꿔 쓰기(paraphrasing) 같은 기본적인 표현 능력의 지도를 병행한다.</t>
  </si>
  <si>
    <t>[12세영01-10]</t>
  </si>
  <si>
    <t>정보 윤리를 준수하여 다양한 목적의 문화 콘텐츠를 제작하여 공유한다.</t>
  </si>
  <si>
    <t>이 성취기준은 전달하고자 하는 내용에 대한 책임감을 가지고 정보의 정확성, 타당성, 시의성 등을 평가하고 이를 재구성하여 다양한 내용과 형태의 문화 콘텐츠를 제작한 뒤 효과적인 방법과 매체로 공유하는 것을 의미한다. 문화 콘텐츠로는 문화 비교 보고서, 감상문, 조사 발표, 문화 기행, 문화적 산물을 소개하는 영상, 카드 뉴스, 인포그래픽, 온오프라인 포스터 등 다양한 형태가 가능하다. (2) 성취기준 적용 시 고려사항 지식과 정보의 구성 및 생산과 관련된 성취기준 , 을 다룰 때는 정보 윤리를 준수하도록 지도한다. 자신이 전달하는 내용에 대한 책임감을 가지고 정보의 정확성과 신뢰성을 평가하도록 지도하고, 특히 문화는 끊임없이 변화하는 속성이 있으므로 정보의 시의성에 유의하도록 안내한다. 또한 학습자가 다양한 매체의 정보를 자신의 결과물에 그대로 베껴 쓰는 것은 정보 윤리에 어긋난다는 것을 숙지할 수 있도록 하고, 표절 방지를 위해 수집한 정보를 자신의 언어로 표현할 수 있도록 자료 인용 방법, 요약하기, 다른 말로 바꿔 쓰기(paraphrasing) 같은 기본적인 표현 능력의 지도를 병행한다.</t>
  </si>
  <si>
    <t>[9생독01-01]</t>
  </si>
  <si>
    <t>낱말이나 간단한 구를 듣고 소리와 낱말을 식별한다.</t>
  </si>
  <si>
    <t>[9생독01-02]</t>
  </si>
  <si>
    <t>낱말이나 간단한 구, 간단하고 쉬운 문장, 간단하고 쉬운 대화를 듣고 의미를 이해한다.</t>
  </si>
  <si>
    <t>[9생독01-03]</t>
  </si>
  <si>
    <t>상대방의 말을 경청하며 적극적으로 호응한다.</t>
  </si>
  <si>
    <t>이 성취기준은 상대방의 말에 대한 존중과 경청을 바탕으로 몸짓이나 표정, 감탄사 등을 활용하여 학습자가 대화에 적극적으로 참여하는 태도를 갖추게 하고자 설정하였다.</t>
  </si>
  <si>
    <t>[9생독02-01]</t>
  </si>
  <si>
    <t>낱말이나 간단한 구, 간단하고 쉬운 문장을 발음 규칙에 유의하여 말한다.</t>
  </si>
  <si>
    <t>[9생독02-02]</t>
  </si>
  <si>
    <t>간단하고 쉬운 의사소통 표현을 사용하여 상황에 맞게 말한다.</t>
  </si>
  <si>
    <t>[9생독02-03]</t>
  </si>
  <si>
    <t>상대방을 존중하며 말하기 활동에 적극적으로 참여한다.</t>
  </si>
  <si>
    <t>이 성취기준은 상대방에 대한 존중을 바탕으로 타인과 상호 작용할 때 협력적으로 소통하는 자세와 적극적으로 말하는 태도를 갖추기 위해 설정하였다.</t>
  </si>
  <si>
    <t>[9생독03-01]</t>
  </si>
  <si>
    <t>말이나 간단한 구, 간단하고 쉬운 문장을 발음 규칙에 유의하여 소리 내어 읽는다.</t>
  </si>
  <si>
    <t>[9생독03-02]</t>
  </si>
  <si>
    <t>낱말이나 간단한 구, 간단하고 쉬운 문장을 읽고 의미와 내용을 파악한다.</t>
  </si>
  <si>
    <t>[9생독03-03]</t>
  </si>
  <si>
    <t>간단하고 쉬운 대화문이나 텍스트를 읽고 정보를 파악한다.</t>
  </si>
  <si>
    <t>[9생독04-01]</t>
  </si>
  <si>
    <t>낱말이나 간단한 구, 간단하고 쉬운 문장을 어법에 맞게 쓴다.</t>
  </si>
  <si>
    <t>[9생독04-02]</t>
  </si>
  <si>
    <t>간단하고 쉬운 대화문이나 텍스트를 상황과 목적에 맞게 작성한다.</t>
  </si>
  <si>
    <t>[9생독04-03]</t>
  </si>
  <si>
    <t>글쓰기에 흥미를 갖고 쓰기 활동에 적극적으로 참여한다.</t>
  </si>
  <si>
    <t>[9생독05-01]</t>
  </si>
  <si>
    <t>독일어권 주요 문화 내용을 이해한다.</t>
  </si>
  <si>
    <t>[9생독05-02]</t>
  </si>
  <si>
    <t>독일어권 주요 문화 내용을 조사하여 설명한다.</t>
  </si>
  <si>
    <t>[9생독05-03]</t>
  </si>
  <si>
    <t>독일어권 주요 문화 내용을 이해하여 독일어 의사소통 상황에 활용한다.</t>
  </si>
  <si>
    <t>이 성취기준은 학습을 통해 습득한 독일어권의 주요 문화 내용에 대한 지식공통 교육과정 - 생활 독일어을 독일어로 이루어지는 대화 상황에서 질문이나 대답 등에 적절히 활용하도록 설정하였다. 예를 들어 「생활 독일어」의 [의사소통 기본 표현]에서 ‘인사’ 표현을 상황에 맞게 활용할 수 있도록 한다.</t>
  </si>
  <si>
    <t>[9생독05-04]</t>
  </si>
  <si>
    <t>독일어권 문화에 대해 호기심을 갖고 탐구 활동에 적극적으로 참여한다.</t>
  </si>
  <si>
    <t>[9생프01-01]</t>
  </si>
  <si>
    <t>발음 규칙에 유의하여 철자, 낱말을 식별한다.</t>
  </si>
  <si>
    <t>이 성취기준은 프랑스어 철자와 발음의 상관관계 및 필수적 연음에 기초하여 낱말을 구별하는 것을 의미한다.</t>
  </si>
  <si>
    <t>[9생프01-02]</t>
  </si>
  <si>
    <t>간단하고 쉬운 의사소통 표현을 듣고 의미를 파악하거나 상황에 맞게 반응한다.</t>
  </si>
  <si>
    <t>[9생프01-03]</t>
  </si>
  <si>
    <t>듣기 자료나 상대방의 말을 경청하고 호응한다.</t>
  </si>
  <si>
    <t>이 성취기준은 일상생활에서 사용하는 간단하고 쉬운 의사소통 표현을 듣고 상황에 맞게 행동이나 말 또는 글로 표현하여 반응하는 것을 의미한다.</t>
  </si>
  <si>
    <t>[9생프02-01]</t>
  </si>
  <si>
    <t>낱말이나 간단하고 쉬운 구･문장을 발음 규칙에 유의하며 따라 말한다.</t>
  </si>
  <si>
    <t>[9생프02-02]</t>
  </si>
  <si>
    <t>간단하고 쉬운 의사소통 기본 표현을 사용하여 상황에 맞게 대화한다.</t>
  </si>
  <si>
    <t>[9생프02-03]</t>
  </si>
  <si>
    <t>상대방을 존중하며 적극적으로 대화에 참여한다.</t>
  </si>
  <si>
    <t>[9생프03-01]</t>
  </si>
  <si>
    <t>발음 규칙을 이해하고 낱말이나 간단하고 쉬운 구･문장을 소리 내어 읽는다.</t>
  </si>
  <si>
    <t>[9생프03-02]</t>
  </si>
  <si>
    <t>간단하고 쉬운 시각 자료나 서식을 읽고 정보를 파악한다.</t>
  </si>
  <si>
    <t>이 성취기준은 포스터, 광고문, 간판, 등록카드 등을 읽고 전체적인 내용을 파악하는 것을 의미한다.</t>
  </si>
  <si>
    <t>[9생프03-03]</t>
  </si>
  <si>
    <t>간단하고 쉬운 대화문이나 자료를 읽고 내용을 이해하거나 상황에 맞게 반응한다.</t>
  </si>
  <si>
    <t>[9생프04-01]</t>
  </si>
  <si>
    <t>낱말이나 간단하고 쉬운 구･문장을 어법에 맞게 쓴다.</t>
  </si>
  <si>
    <t>[9생프04-02]</t>
  </si>
  <si>
    <t>간단하고 쉬운 글을 목적에 맞게 작성한다.</t>
  </si>
  <si>
    <t>이 성취기준은 짧고 간단한 문장으로 메모, 문자메시지, 초대장 등을 쓰는 것을 의미한다.</t>
  </si>
  <si>
    <t>[9생프04-03]</t>
  </si>
  <si>
    <t>[9생프05-01]</t>
  </si>
  <si>
    <t>프랑스어권의 주요 문화 내용을 파악하여 의사소통 상황에 활용한다.</t>
  </si>
  <si>
    <t>이 성취기준은 학습을 통해 습득한 프랑스어권 문화 내용을 간단하고 쉬운 프랑스어 대화 상황에서 적절히 활용하는 것을 의미한다.예) A : Tu veux aller où en France cet été ?B : À Paris, capitale de la France.</t>
  </si>
  <si>
    <t>[9생프05-02]</t>
  </si>
  <si>
    <t>프랑스어권의 주요 문화 내용을 조사･정리한다.</t>
  </si>
  <si>
    <t>[9생프05-03]</t>
  </si>
  <si>
    <t>프랑스어권 문화를 상호문화적 관점에서 이해한다.</t>
  </si>
  <si>
    <t>[9생프05-04]</t>
  </si>
  <si>
    <t>프랑스어권 문화에 관심을 갖고 탐구 활동에 적극적으로 참여한다.</t>
  </si>
  <si>
    <t>[9생스01-01]</t>
  </si>
  <si>
    <t>발음 규칙에 유의하여 낱말을 식별한다.</t>
  </si>
  <si>
    <t>이 성취기준은 스페인어의 자음과 모음의 특성, 음절 구조 및 강세의 특성에 기초하여 낱말을 구별하는 것을 의미한다.</t>
  </si>
  <si>
    <t>[9생스01-02]</t>
  </si>
  <si>
    <t>낱말이나 간단하고 쉬운 구･문장을 듣고 의미를 이해한다.</t>
  </si>
  <si>
    <t>[9생스01-03]</t>
  </si>
  <si>
    <t>간단하고 쉬운 의사소통 표현을 듣고 상황에 맞게 반응한다.</t>
  </si>
  <si>
    <t>이 성취기준은 일상생활에서 접하게 되는 간단하고 쉬운 의사소통 표현을 듣고 상황에 맞게 말, 몸짓, 글 등으로 표현하여 반응하는 것을 의미한다.</t>
  </si>
  <si>
    <t>[9생스01-04]</t>
  </si>
  <si>
    <t>간단하고 쉬운 말이나 대화를 듣고 내용을 이해한다.</t>
  </si>
  <si>
    <t>[9생스02-01]</t>
  </si>
  <si>
    <t>낱말이나 간단하고 쉬운 구, 문장을 발음･강세･억양에 유의하여 말한다.</t>
  </si>
  <si>
    <t>[9생스02-02]</t>
  </si>
  <si>
    <t>간단하고 쉬운 의사소통 표현을 상황에 맞게 말한다.</t>
  </si>
  <si>
    <t>[9생스02-03]</t>
  </si>
  <si>
    <t>일상생활에서 접하는 친숙한 대상이나 상황에 대해 간단히 묘사하거나 설명한다.</t>
  </si>
  <si>
    <t>이 성취기준은 일상생활 중에 자기 주변에서 자주 접하는 사람, 사물, 상황에 대한 외면적 특징, 성격, 위치, 상태, 원인, 결과 등을 간단히 말로 표현하는 것을 의미한다. 공통 교육과정 - 생활 스페인어</t>
  </si>
  <si>
    <t>[9생스02-04]</t>
  </si>
  <si>
    <t>[9생스03-01]</t>
  </si>
  <si>
    <t>낱말이나 간단하고 쉬운 구, 문장을 발음･강세･억양에 유의하여 소리 내어 읽는다.</t>
  </si>
  <si>
    <t>[9생스03-02]</t>
  </si>
  <si>
    <t>낱말이나 간단하고 쉬운 구, 문장을 읽고 의미를 이해한다.</t>
  </si>
  <si>
    <t>[9생스03-03]</t>
  </si>
  <si>
    <t>간단하고 쉬운 글이나 자료, 대화문을 읽고 내용을 이해한다.</t>
  </si>
  <si>
    <t>이 성취기준은 일상생활에서 자주 접할 수 있고 활용도가 높은 간단한 글이나 대화문, 이메일, 사회 관계망 서비스(SNS), 초대장, 메모, 설명문, 묘사문, 소개문뿐만 아니라 스페인어가 포함된 광고문, 포스터, 안내문 등 시각적 요소가 강조된 사실 자료를 읽고 내용을 이해하는 것을 의미한다.</t>
  </si>
  <si>
    <t>[9생스04-01]</t>
  </si>
  <si>
    <t>낱말이나 간단하고 쉬운 구, 문장을 받아쓴다.</t>
  </si>
  <si>
    <t>[9생스04-02]</t>
  </si>
  <si>
    <t>낱말이나 간단하고 쉬운 구, 문장을 어법에 맞게 쓴다.</t>
  </si>
  <si>
    <t>[9생스04-03]</t>
  </si>
  <si>
    <t>간단하고 쉬운 글이나 대화문을 상황과 목적에 맞게 작성한다.</t>
  </si>
  <si>
    <t>[9생스05-01]</t>
  </si>
  <si>
    <t>스페인어권의 주요 문화 내용을 이해한다.</t>
  </si>
  <si>
    <t>[9생스05-02]</t>
  </si>
  <si>
    <t>스페인어권의 주요 문화 내용을 스페인어 의사소통 상황에 활용한다.</t>
  </si>
  <si>
    <t>이 성취기준은 학습을 통해 습득한 스페인어권의 주요 문화 내용에 대한 지식을 스페인어로 이루어지는 대화 등의 상황에서 질문이나 대답, 설명에 적절히 활용하는 것을 의미한다.</t>
  </si>
  <si>
    <t>[9생스05-03]</t>
  </si>
  <si>
    <t>스페인어권의 주요 문화 내용을 조사･정리한다.</t>
  </si>
  <si>
    <t>[9생스05-04]</t>
  </si>
  <si>
    <t>매체를 활용하여 스페인어권의 주요 문화 내용을 설명한다.</t>
  </si>
  <si>
    <t>[9생중01-01]</t>
  </si>
  <si>
    <t>발음을 듣고 성모, 운모, 성조를 변별한다.</t>
  </si>
  <si>
    <t>[9생중01-02]</t>
  </si>
  <si>
    <t>기초적인 낱말이나 구, 간단하고 쉬운 문장을 듣고 의미를 파악한다.</t>
  </si>
  <si>
    <t>[9생중01-03]</t>
  </si>
  <si>
    <t>일상생활과 관련된 짧고 쉬운 의사소통 표현을 듣고 의미를 파악한다.</t>
  </si>
  <si>
    <t>[9생중01-04]</t>
  </si>
  <si>
    <t>간단하고 쉬운 글이나 대화를 듣고 말의 의도를 추측하거나 그에 상응하는 반응을 보인다.</t>
  </si>
  <si>
    <t>이 성취기준은 인사, 소개와 같은 관용적인 표현, 교실에서 사용되는 간단한 중국어 표현, 일상생활에 관한 기초적인 표현 등을 듣고 그에 상응하는 적절한 행동이나 말로 반응하거나 글로 표현하여 반응하는 것을 의미한다. 가령 명령문을 듣고 명령을 수행하는 것 등을 말한다.</t>
  </si>
  <si>
    <t>[9생중02-01]</t>
  </si>
  <si>
    <t>발음을 듣고 따라 말하거나 기초적인 의사소통 표현을 발음에 유의하여 말한다.</t>
  </si>
  <si>
    <t>이 성취기준에 따라 특히 성조에 유의하여 중국어를 발음하면 좀 더 유창하게 말할 수 있다.</t>
  </si>
  <si>
    <t>[9생중02-02]</t>
  </si>
  <si>
    <t>기초적인 낱말이나 구, 간단하고 쉬운 문장을 활용하여 질문하거나 대답한다.</t>
  </si>
  <si>
    <t>[9생중02-03]</t>
  </si>
  <si>
    <t>간단한 의사소통 표현을 상황에 맞게 자신감을 가지고 적극적으로 말한다.</t>
  </si>
  <si>
    <t>[9생중03-01]</t>
  </si>
  <si>
    <t>한어병음이나 기초적인 한자를 식별하고 소리 내어 읽는다.</t>
  </si>
  <si>
    <t>이 성취기준은 한어병음이나 한자를 보고 소리 내어 정확하게 읽는 것을 의미하며, 한어병음과 한자를 바르게 연결하여 읽는 것도 중요하다.</t>
  </si>
  <si>
    <t>[9생중03-02]</t>
  </si>
  <si>
    <t>기초적인 낱말, 구, 간단하고 쉬운 문장을 발음에 유의하여 읽고 의미를 파악한다.</t>
  </si>
  <si>
    <t>[9생중03-03]</t>
  </si>
  <si>
    <t>간단하고 쉬운 글, 대화문, 디지털 매체상의 자료 등을 읽고 정보 또는 대의를 파악한다.</t>
  </si>
  <si>
    <t>이 성취기준은 초대장, 메모, 일기, 안내문, 광고문 등의 간단하고 쉬운 중국어 자료를 읽고 해당 텍스트의 핵심어와 주요 의미를 파악하는 수준을 의미하며, 디지털 매공통 교육과정 - 생활 중국어체상의 자료는 이메일, 사회 관계망 서비스(SNS), 메신저 등의 텍스트를 의미한다.</t>
  </si>
  <si>
    <t>[9생중04-01]</t>
  </si>
  <si>
    <t>기초적인 낱말이나 구, 간단하고 쉬운 문장을 한어병음이나 한자로 쓴다.</t>
  </si>
  <si>
    <t>[9생중04-02]</t>
  </si>
  <si>
    <t>이름이나 숫자 등 간단한 정보를 한어병음이나 한자로 기입한다.</t>
  </si>
  <si>
    <t>이 성취기준은 다양한 유형의 텍스트에서 요구되는 이름, 나이, 학년, 날짜 등과 같은 간단한 정보를 한어병음이나 한자로 쓰거나, 디지털 기기를 활용해 입력하는 것을 의미한다.</t>
  </si>
  <si>
    <t>[9생중04-03]</t>
  </si>
  <si>
    <t>낱말의 용법과 기본 어순에 유의하여 상황이나 목적에 맞게 짧고 쉬운 문장을 작성한다.</t>
  </si>
  <si>
    <t>[9생중05-01]</t>
  </si>
  <si>
    <t>기본적인 중국 문화 내용을 이해하여 중국어 의사소통 상황에 활용한다.</t>
  </si>
  <si>
    <t>이 성취기준은 학습을 통해 습득한 문화 내용을 간단한 대화 상황에서 적절히 활용하는 것을 의미한다. 예를 들어 [의사소통 기본 표현]의 ‘일상생활 표현’을 중국의 생활 문화를 체험하는 상황에 활용할 수 있다.</t>
  </si>
  <si>
    <t>[9생중05-02]</t>
  </si>
  <si>
    <t>기본적인 중국 문화 내용을 조사하고 한중 문화를 비교하여 문화적 다양성을 이해한다.</t>
  </si>
  <si>
    <t>[9생중05-03]</t>
  </si>
  <si>
    <t>중국 문화를 직간접적으로 체험하고, 다양한 매체를 활용하여 정보를 공유한다.</t>
  </si>
  <si>
    <t>[9생중05-04]</t>
  </si>
  <si>
    <t>중국 문화에 대해 호기심을 갖고 수업이나 과제 활동에 적극적으로 참여한다.</t>
  </si>
  <si>
    <t>[9생일01-01]</t>
  </si>
  <si>
    <t>음성적 특징에 유의하여 듣고 문자와 낱말을 식별한다.</t>
  </si>
  <si>
    <t>이 성취기준은 청･탁음, 장･단음, 요음, 촉음, 발음(撥音), 박(拍), 억양 등 발음상의 특징에 유의하여 듣고 문자와 낱말을 식별하는 것을 의미한다.</t>
  </si>
  <si>
    <t>[9생일01-02]</t>
  </si>
  <si>
    <t>낱말, 간단하고 쉬운 구와 문장을 듣고 의미를 이해한다.</t>
  </si>
  <si>
    <t>[9생일01-03]</t>
  </si>
  <si>
    <t>일상생활과 관련된 간단하고 쉬운 글이나 대화를 듣고 내용을 파악한다.</t>
  </si>
  <si>
    <t>[9생일02-01]</t>
  </si>
  <si>
    <t>음성적 특징에 유의하여 낱말, 간단하고 쉬운 구나 문장을 말한다.</t>
  </si>
  <si>
    <t>이 성취기준은 청･탁음, 장･단음, 요음, 촉음, 발음(撥音), 박(拍), 억양 등의 발음상의 특징에 유의하여 낱말, 간단하고 쉬운 구나 문장을 말하는 것을 의미한다.</t>
  </si>
  <si>
    <t>[9생일02-02]</t>
  </si>
  <si>
    <t>간단하고 쉬운 구나 문장으로 상황을 묘사하거나 설명한다.</t>
  </si>
  <si>
    <t>[9생일02-03]</t>
  </si>
  <si>
    <t>간단하고 쉬운 의사소통 기본 표현을 활용하여 상황에 맞게 말한다.</t>
  </si>
  <si>
    <t>[9생일02-04]</t>
  </si>
  <si>
    <t>상대방의 말을 존중하며 대화에 적극적으로 참여한다.</t>
  </si>
  <si>
    <t>[9생일03-01]</t>
  </si>
  <si>
    <t>음성적 특징에 유의하여 낱말, 간단하고 쉬운 구나 문장을 소리 내어 읽는다.</t>
  </si>
  <si>
    <t>이 성취기준은 청･탁음, 장･단음, 요음, 촉음, 발음(撥音), 박(拍), 억양 등 발음상의 특징에 유의하여 낱말, 간단하고 쉬운 구나 문장을 소리 내어 읽는 것을 의미한다.</t>
  </si>
  <si>
    <t>[9생일03-02]</t>
  </si>
  <si>
    <t>낱말, 간단하고 쉬운 구나 문장을 읽고 의미를 이해한다.</t>
  </si>
  <si>
    <t>[9생일03-03]</t>
  </si>
  <si>
    <t>간단하고 쉬운 대화문이나 글, 디지털 텍스트를 읽고 정보를 파악한다.</t>
  </si>
  <si>
    <t>이 성취기준에서 디지털 텍스트는 스마트폰, 컴퓨터 등의 디지털 매체를 기반으로 생산된 간단하고 쉬운 문자 메시지, 메일, 블로그, 사회 관계망 서비스(SNS), 웹 문서 등을 의미한다.</t>
  </si>
  <si>
    <t>[9생일04-01]</t>
  </si>
  <si>
    <t>가나와 낱말을 바르게 쓴다.</t>
  </si>
  <si>
    <t>[9생일04-02]</t>
  </si>
  <si>
    <t>간단하고 쉬운 구나 문장을 표기법과 어법에 맞게 쓴다.</t>
  </si>
  <si>
    <t>이 성취기준은 일본의 ‘현대가나표기법(杯♏־םט־ַ)’ 등의 표기법 규정과 ‘일본어문법사전(仼儖鏤乃嫎◄⪯), 신판일본어교육사전(二撶仼儖鏤䷷罫◄⪯), 현대일본어문법(杯♏仼儖鏤乃嫎)’ 등의 어법 규정에 맞게 쓰는 것을 의미한다.</t>
  </si>
  <si>
    <t>[9생일04-03]</t>
  </si>
  <si>
    <t>간단하고 쉬운 대화문이나 글을 상황과 목적에 맞게 작성한다.</t>
  </si>
  <si>
    <t>[9생일05-01]</t>
  </si>
  <si>
    <t>일본 문화 내용을 이해한다.</t>
  </si>
  <si>
    <t>[9생일05-02]</t>
  </si>
  <si>
    <t>일본 문화 내용을 조사･정리하여 보고서를 작성한다.</t>
  </si>
  <si>
    <t>[9생일05-03]</t>
  </si>
  <si>
    <t>한일 문화의 공통점과 차이점에 대해 상호문화적 관점에서 온오프라인으로 의견을 공유한다.</t>
  </si>
  <si>
    <t>이 성취기준은 문화의 다양성과 차이점을 인정하고, 한국인과 일본인이 지향하는 가치들을 서로 이해하고 존중하면서 한일 문화의 공통점과 차이점에 대해 조사･정리한 내용을 온오프라인으로 발표･토론하고, 자료나 의견을 공유하는 것을 말한다.</t>
  </si>
  <si>
    <t>[9생일05-04]</t>
  </si>
  <si>
    <t>언어문화･비언어 문화를 포함한 일본 문화 내용을 의사소통 상황에 활용한다.</t>
  </si>
  <si>
    <t>이 성취기준은 의사소통 상황에서 일본인의 언어문화･비언어 문화를 활용하고 일상생활 문화 내용을 소재로 다루는 것을 말한다. 일본어의 언어문화 특징으로는 의뢰 방법, 승낙･거절 방법, 호칭 방법, 칭찬 방법, 표현적 특징 등을 들 수 있다. 표현적 특징의 예로는 병원에서 삼가는 말(ֽׅ؆׀ך׌־, ׈׻ֹם׼ 등), 헤어질 때 사용하는 다양한 표현(׈׻ֹם׼, ֽ׀؅ חׄי, ֽׅ؆׀ך 등) 등이 있다. 비언어 문화의 특징으로는 자신을 가리킬 때 검지로 자신의 코를 가리킨다거나 식사 전후 두 손을 모으는 행위 등을 들 수 있다.</t>
  </si>
  <si>
    <t>[9생일05-05]</t>
  </si>
  <si>
    <t>일본 문화에 대해 호기심을 가지고 수업이나 과제 활동에 적극적으로 참여한다.</t>
  </si>
  <si>
    <t>[9생러01-01]</t>
  </si>
  <si>
    <t>이 성취기준은 러시아어의 자음과 모음의 발음, 음절 구조 및 강세의 특성에 기초하여 낱말을 구별하는 것을 의미한다.</t>
  </si>
  <si>
    <t>[9생러01-02]</t>
  </si>
  <si>
    <t>간단하고 쉬운 대화나 독백을 듣고 내용을 파악한다.</t>
  </si>
  <si>
    <t>이 성취기준은 일상생활에서 흔히 접할 수 있는 간단하고 쉬운 대화를 듣고 핵심어와 주요 정보 등의 내용을 파악하는 것을 의미한다.</t>
  </si>
  <si>
    <t>[9생러01-03]</t>
  </si>
  <si>
    <t>듣기 자료나 타인의 말을 듣고 그 의도를 파악하고 적절히 반응한다.</t>
  </si>
  <si>
    <t>[9생러02-01]</t>
  </si>
  <si>
    <t>낱말이나 간단하고 쉬운 구, 문장을 강세와 억양에 유의하여 말한다.</t>
  </si>
  <si>
    <t>[9생러02-02]</t>
  </si>
  <si>
    <t>간단하고 쉬운 의사소통 표현을 사용하여 상황에 맞게 대화한다.</t>
  </si>
  <si>
    <t>이 성취기준은 일상생활 속 상황에 맞는 간단하고 쉬운 의사소통 표현을 사용하여 대화하는 것을 의미한다. 공통 교육과정 - 생활 러시아어</t>
  </si>
  <si>
    <t>[9생러02-03]</t>
  </si>
  <si>
    <t>타인을 존중하며 말하기 활동에 적극적으로 참여한다.</t>
  </si>
  <si>
    <t>[9생러03-01]</t>
  </si>
  <si>
    <t>낱말이나 간단하고 쉬운 구, 문장을 강세와 억양에 유의하여 소리 내어 읽는다.</t>
  </si>
  <si>
    <t>[9생러03-02]</t>
  </si>
  <si>
    <t>낱말이나 간단하고 쉬운 구, 문장을 읽고 의미와 내용을 이해한다.</t>
  </si>
  <si>
    <t>[9생러03-03]</t>
  </si>
  <si>
    <t>다양한 관점과 의견을 존중하며 읽기 활동에 자기주도적으로 참여한다.</t>
  </si>
  <si>
    <t>[9생러04-01]</t>
  </si>
  <si>
    <t>낱말, 간단하고 쉬운 구, 문장을 정서법과 어법에 맞게 쓴다.</t>
  </si>
  <si>
    <t>[9생러04-02]</t>
  </si>
  <si>
    <t>간단하고 쉬운 글을 상황과 목적에 맞게 작성한다.</t>
  </si>
  <si>
    <t>[9생러04-03]</t>
  </si>
  <si>
    <t>글쓰기에 흥미를 갖고 쓰기 활동에 자기주도적으로 참여한다.</t>
  </si>
  <si>
    <t>[9생러05-01]</t>
  </si>
  <si>
    <t>러시아의 주요 문화 내용을 이해한다.</t>
  </si>
  <si>
    <t>[9생러05-02]</t>
  </si>
  <si>
    <t>러시아의 주요 문화 내용을 러시아어 의사소통 상황에 활용한다.</t>
  </si>
  <si>
    <t>이 성취기준은 학습을 통해 습득한 문화 내용을 간단한 대화 상황에서 적절히 활용하는 것을 의미한다. 예를 들어 [의사소통 기본 표현]의 ‘축하 및 기원 표현’을 러시아 기념일을 축하하는 상황에 맞게 활용할 수 있다.</t>
  </si>
  <si>
    <t>[9생러05-03]</t>
  </si>
  <si>
    <t>러시아 문화에 관심을 가지고 수업이나 과제 활동에 자기주도적으로 참여한다.</t>
  </si>
  <si>
    <t>[9생아01-01]</t>
  </si>
  <si>
    <t>발음 규칙에 유의하여 듣고 자음과 모음, 소리와 철자를 식별한다.</t>
  </si>
  <si>
    <t>이 성취기준은 아랍어의 자음과 모음, 발음기호, 강세, 억양, 장단, 연음, 보조모음의 특성에 유의하여 소리와 철자를 구별하는 것을 의미한다.</t>
  </si>
  <si>
    <t>[9생아01-02]</t>
  </si>
  <si>
    <t>낱말, 간단하고 쉬운 구, 문장, 대화를 듣고 의미를 이해한다.</t>
  </si>
  <si>
    <t>[9생아01-03]</t>
  </si>
  <si>
    <t>일상생활과 관련된 간단하고 쉬운 문장이나 의사소통 표현을 경청하고 적절하게 반응한다.</t>
  </si>
  <si>
    <t>이 성취기준은 일상생활에서 기본적으로 수행하는 의사소통 표현을 경청하고 상황에 맞게 몸짓이나 말로 반응하거나 글로 표현하여 반응하는 것을 의미한다.</t>
  </si>
  <si>
    <t>[9생아02-01]</t>
  </si>
  <si>
    <t>발음 규칙에 유의하여 낱말, 간단하고 쉬운 구나 문장을 말한다.</t>
  </si>
  <si>
    <t>이 성취기준은 아랍어의 자음과 모음, 발음기호, 강세, 억양, 장단, 연음, 보조모음의 특성에 유의하여 간단하고 쉬운 구나 문장을 말하는 것을 의미한다. 공통 교육과정 - 생활 아랍어</t>
  </si>
  <si>
    <t>[9생아02-02]</t>
  </si>
  <si>
    <t>[9생아02-03]</t>
  </si>
  <si>
    <t>간단하고 쉬운 구나 문장으로 주변의 대상이나 상황을 묘사하거나 설명한다.</t>
  </si>
  <si>
    <t>[9생아03-01]</t>
  </si>
  <si>
    <t>낱말, 간단하고 쉬운 구나 문장을 발음 규칙에 유의하여 소리 내어 읽는다.</t>
  </si>
  <si>
    <t>이 성취기준은 아랍어의 자음과 모음, 발음기호, 강세, 억양, 장단, 연음, 보조모음의 특성에 유의하여 간단하고 쉬운 구나 문장을 소리 내어 정확하게 읽는 것을 의미한다.</t>
  </si>
  <si>
    <t>[9생아03-02]</t>
  </si>
  <si>
    <t>[9생아03-03]</t>
  </si>
  <si>
    <t>간단하고 쉬운 글이나 대화문을 읽고 핵심어나 대의를 파악한다.</t>
  </si>
  <si>
    <t>[9생아04-01]</t>
  </si>
  <si>
    <t>자음과 모음, 소리와 철자를 식별하여 바르게 쓴다.</t>
  </si>
  <si>
    <t>이 성취기준은 유사한 형태의 자음과 모음에 유의하여 정확하게 표기하는 것을 의미한다.</t>
  </si>
  <si>
    <t>[9생아04-02]</t>
  </si>
  <si>
    <t>낱말, 간단하고 쉬운 구나 문장을 어법에 맞게 쓴다.</t>
  </si>
  <si>
    <t>[9생아04-03]</t>
  </si>
  <si>
    <t>간단하고 쉬운 문장을 상황과 목적에 맞게 작성한다.</t>
  </si>
  <si>
    <t>[9생아05-01]</t>
  </si>
  <si>
    <t>간략한 아랍 문화 내용을 이해한다.</t>
  </si>
  <si>
    <t>[9생아05-02]</t>
  </si>
  <si>
    <t>간략한 아랍 문화 내용을 조사하고 정리한다.</t>
  </si>
  <si>
    <t>[9생아05-03]</t>
  </si>
  <si>
    <t>간략한 아랍 문화 내용을 의사소통 상황에 활용한다.</t>
  </si>
  <si>
    <t>[9생아05-04]</t>
  </si>
  <si>
    <t>상호문화적 관점에서 한국 문화와 아랍 문화의 공통점과 차이점을 이해하고 표현한다.</t>
  </si>
  <si>
    <t>이 성취기준은 상호문화적 관점에서 한 사회의 문화를 그 사회가 처한 특수한 환경과 역사적 맥락 속에서 이해하고 평가하며 한국 문화와 상호 비교하는 데 필요한 능력과 발표 능력을 기르기 위해 설정하였다. 교과 학습 과정에서 한국과 아랍 문화의 공통점과 차이점을 이해하고 발표하는 기초 능력을 함양하기 위해 아랍 문화 조사 및 정리하기, 상호문화적 관점에서 한국 문화와 상호 비교하기, 조리 있게 표현하기 등을 학습한다.</t>
  </si>
  <si>
    <t>[9생베01-01]</t>
  </si>
  <si>
    <t>낱말이나 간단하고 쉬운 구, 문장을 듣고 발음 및 성조를 식별한다.</t>
  </si>
  <si>
    <t>[9생베01-02]</t>
  </si>
  <si>
    <t>낱말이나 간단하고 쉬운 구, 문장을 듣고 의미를 파악한다.</t>
  </si>
  <si>
    <t>[9생베01-03]</t>
  </si>
  <si>
    <t>일상생활과 관련된 간단하고 쉬운 글이나 대화를 듣고 주요 정보를 파악한다.</t>
  </si>
  <si>
    <t>[9생베01-04]</t>
  </si>
  <si>
    <t>간단하고 쉬운 듣기 자료나 상대방의 말을 경청하고 적절하게 반응한다.</t>
  </si>
  <si>
    <t>이 성취기준은 다양한 듣기 자료나 일상생활에서 기본적으로 수행하는 의사소통 표현을 중심으로 한 상대방의 말을 듣고 상황에 맞게 몸짓이나 말로 반응하거나 글로 표현하여 반응하는 것을 의미한다.</t>
  </si>
  <si>
    <t>[9생베02-01]</t>
  </si>
  <si>
    <t>낱말이나 간단하고 쉬운 구, 문장을 발음과 성조에 유의하여 말한다.</t>
  </si>
  <si>
    <t>[9생베02-02]</t>
  </si>
  <si>
    <t>낱말이나 간단하고 쉬운 의사소통 표현을 상황에 맞게 말한다.</t>
  </si>
  <si>
    <t>[9생베02-03]</t>
  </si>
  <si>
    <t>상대방을 존중하는 태도로 말하기 활동에 적극적으로 참여한다.</t>
  </si>
  <si>
    <t>이 성취기준은 학습자가 상대방의 입장과 감정을 고려하고 존중하는 자세로 소통의 즐거움을 깨닫고 적극적으로 말하기 활동에 참여하는 것을 의미한다. 이 과정에서 실수를 두려워하지 않고 자신감 있게 생각이나 감정을 표현하며 상대방을 존중･배려하는 태도를 기를 수 있어야 한다.</t>
  </si>
  <si>
    <t>[9생베03-01]</t>
  </si>
  <si>
    <t>낱말이나 간단하고 쉬운 구, 문장을 발음과 성조에 유의하여 소리 내어 읽는다.</t>
  </si>
  <si>
    <t>이 성취기준은 낱말이나 간단하고 쉬운 구, 문장을 6개의 성조를 구분하여 정확한 발음으로 소리 내어 읽는 것을 의미한다.</t>
  </si>
  <si>
    <t>[9생베03-02]</t>
  </si>
  <si>
    <t>낱말이나 간단하고 쉬운 구, 문장을 읽고 의미를 파악한다.</t>
  </si>
  <si>
    <t>[9생베03-03]</t>
  </si>
  <si>
    <t>간단하고 쉬운 글이나 대화문을 읽고 주요 정보나 주제를 파악한다.</t>
  </si>
  <si>
    <t>이 성취기준은 일상생활을 주제로 한 글이나 대화문의 내용을 파악하기 위해 구체적이고 명시적인 정보를 찾는 것을 의미한다. 여기에서 ‘글’은 스마트폰, 컴퓨터 등의 디지털 기기를 기반으로 생산되는 문자, 이미지, 영상이 결합된 텍스트 등도 포함한다.</t>
  </si>
  <si>
    <t>[9생베04-01]</t>
  </si>
  <si>
    <t>낱말이나 간단하고 쉬운 구, 문장을 철자와 성조에 유의하여 쓴다.</t>
  </si>
  <si>
    <t>[9생베04-02]</t>
  </si>
  <si>
    <t>간단하고 쉬운 글이나 대화문을 상황과 어법에 맞게 쓴다.</t>
  </si>
  <si>
    <t>[9생베04-03]</t>
  </si>
  <si>
    <t>[9생베05-01]</t>
  </si>
  <si>
    <t>베트남의 개관 및 생활 문화, 언어문화, 전통문화, 예술 문화 등에 대해 이해한다.</t>
  </si>
  <si>
    <t>[9생베05-02]</t>
  </si>
  <si>
    <t>베트남 문화 내용을 베트남어 의사소통 상황에 활용한다.</t>
  </si>
  <si>
    <t>이 성취기준은 학습을 통해 습득한 베트남 문화 내용에 대한 지식을 베트남어로 이루어지는 대화 상황에서 적절히 활용하는 것을 의미한다.</t>
  </si>
  <si>
    <t>[9생베05-03]</t>
  </si>
  <si>
    <t>베트남 문화에 대해 조사하고 정리한다.</t>
  </si>
  <si>
    <t>[9생베05-04]</t>
  </si>
  <si>
    <t>베트남 문화에 대해 조사･정리한 내용을 설명한다.</t>
  </si>
  <si>
    <t>[9생베05-05]</t>
  </si>
  <si>
    <t>상호문화적 관점에서 한국 문화와 베트남 문화의 공통점과 차이점을 이해한다.</t>
  </si>
  <si>
    <t>이 성취기준은문화의 다양성과 차이점을 인정하고 서로의 관계와 소통을 중시하는 문화적 접근 방식으로서의 ‘상호문화적 관점’에서 한국 문화와 베트남 문화를 비교하고, 그 공통점과 차이점을 이해하는 것을 의미한다.</t>
  </si>
  <si>
    <t>[12독어01-01]</t>
  </si>
  <si>
    <t>[12독어01-02]</t>
  </si>
  <si>
    <t>낱말이나 간단한 구, 간단한 문장을 듣고 의미를 이해한다.</t>
  </si>
  <si>
    <t>[12독어01-03]</t>
  </si>
  <si>
    <t>일상적이고 친숙한 주제의 대화나 자료를 듣고 정보와 맥락을 파악한다.</t>
  </si>
  <si>
    <t>이 성취기준은 일상생활에서 기본적으로 다룰 수 있는 친숙한 주제에 대한 대화나 자료의 내용을 들어서 이해하고, 이를 바탕으로 핵심어와 세부 내용, 대화의 흐름, 화자 간의 관계 등을 파악하게 하고자 설정한 것이다. 여기서는 [별표 Ⅱ]에 제시된 [의사소통 기본 표현]을 기반으로 구성된 대화나 자료에 초점을 맞추어 인사와 소개, 묘사 및 견해, 감정 및 의사, 정보 요구 및 제공, 일상생활 등과 관련된 의사소통 기능 및 상황을 고루 다룬다.</t>
  </si>
  <si>
    <t>[12독어01-04]</t>
  </si>
  <si>
    <t>듣기 자료나 상대방의 말을 경청하며 적극적으로 호응한다.</t>
  </si>
  <si>
    <t>이 성취기준은 듣기 자료나 상대방에 대한 존중과 경청을 바탕으로 상대방의 말을 듣고 몸짓이나 표정, 감탄사 등을 활용하여 학습자가 대화에 적극적으로 참여하는 태도를 갖추게 하고자 설정하였다.</t>
  </si>
  <si>
    <t>[12독어02-01]</t>
  </si>
  <si>
    <t>낱말이나 간단한 구, 간단한 문장을 발음 규칙에 유의하여 말한다.</t>
  </si>
  <si>
    <t>[12독어02-02]</t>
  </si>
  <si>
    <t>간단한 의사소통 표현을 사용하여 상황과 맥락에 맞게 대화한다.</t>
  </si>
  <si>
    <t>이 성취기준은 일상생활의 간단한 의사소통 상황에서 화자의 의도 및 화자 간의 관계, 상황과 목적에 맞게 대화할 수 있도록 설정하였다. 여기서는 [별표 Ⅱ]에 제시된 [의사소통 기본 표현]을 기반으로 한 일상생활의 간단한 의사소통에 초점을 맞추어 교사의 질문이나 학습자의 상호 활동에서 자기소개, 생각 및 입장, 선호 및 호감 표현을 활용할 수 있도록 한다.</t>
  </si>
  <si>
    <t>[12독어02-03]</t>
  </si>
  <si>
    <t>일상적이고 친숙한 주제에 대해 자신의 생각이나 느낌을 말한다.</t>
  </si>
  <si>
    <t>[12독어02-04]</t>
  </si>
  <si>
    <t>[12독어03-01]</t>
  </si>
  <si>
    <t>낱말이나 간단한 구, 간단한 문장을 발음 규칙에 유의하여 소리 내어 읽는다.</t>
  </si>
  <si>
    <t>[12독어03-02]</t>
  </si>
  <si>
    <t>낱말이나 간단한 구, 간단한 문장을 읽고 의미와 내용을 이해한다.</t>
  </si>
  <si>
    <t>[12독어03-03]</t>
  </si>
  <si>
    <t>간단한 대화문이나 텍스트를 읽고 정보와 맥락을 파악한다.</t>
  </si>
  <si>
    <t>[12독어04-01]</t>
  </si>
  <si>
    <t>낱말이나 간단한 구, 간단한 문장을 어법에 맞게 쓴다.</t>
  </si>
  <si>
    <t>[12독어04-02]</t>
  </si>
  <si>
    <t>간단한 대화문이나 텍스트를 상황과 목적에 맞게 작성한다.</t>
  </si>
  <si>
    <t>[12독어04-03]</t>
  </si>
  <si>
    <t>[12독어05-01]</t>
  </si>
  <si>
    <t>독일어권 문화 내용을 이해한다.</t>
  </si>
  <si>
    <t>[12독어05-02]</t>
  </si>
  <si>
    <t>독일어권 문화 내용을 다양한 매체를 활용하여 조사하고 설명한다.</t>
  </si>
  <si>
    <t>[12독어05-03]</t>
  </si>
  <si>
    <t>독일어권 문화 내용을 이해하여 독일어 의사소통 상황에 활용한다.</t>
  </si>
  <si>
    <t>이 성취기준은 학습을 통해 습득한 간단한 독일어 표현을 대화 상황에서 적절히 활용하도록 설정하였다. 여기서는 [별표 Ⅱ]에 제시된 의사소통 기본 표현의 ‘인사와 소개’ 범주의 표현 등을 상황에 맞게 활용할 수 있다.</t>
  </si>
  <si>
    <t>[12독어05-04]</t>
  </si>
  <si>
    <t>낱말이나 구, 문장을 듣고 의미를 이해한다.</t>
  </si>
  <si>
    <t>다양한 의사소통 표현을 듣고 내용과 의도를 추론한다.</t>
  </si>
  <si>
    <t>다양한 주제의 대화나 자료를 듣고 정보와 맥락을 파악한다.</t>
  </si>
  <si>
    <t>이 성취기준은 일상생활과 사회적 관계에서 다룰 수 있는 다양한 주제에 대한 대화나 자료의 내용을 이해하고, 이를 바탕으로 핵심어와 세부 내용, 대화의 흐름, 화자 간의 관계 등을 파악할 수 있도록 설정하였다. 여기서는 [별표 Ⅱ]에 제시된 [의사소통 기본 표현]을 기반으로 한 대화나 자료를 다루되, 필요에 따라 범위 및 주제를 확대･심화할 수 있다.</t>
  </si>
  <si>
    <t>낱말이나 구, 문장을 강세와 억양에 유의하여 자연스럽게 말한다.</t>
  </si>
  <si>
    <t>다양한 의사소통 표현을 활용하여 상황과 맥락에 맞게 대화한다.</t>
  </si>
  <si>
    <t>이 성취기준은 일상생활의 다양한 의사소통 상황에서 화자의 의도 및 화자 간의 관계 등 상황과 맥락에 맞게 대화할 수 있도록 설정하였다. 여기서는 [별표 Ⅱ]에 제시된 [의사소통 기본 표현]을 기반으로 한 대화나 자료를 다루되, 필요에 따라 범위를 확대･심화하여 환경, 기후, 미디어 등과 같은 주제도 학습 내용으로 다룰 수 있다.</t>
  </si>
  <si>
    <t>다양한 주제에 대해 자신의 생각이나 느낌을 말한다.</t>
  </si>
  <si>
    <t>[12심독03-01]</t>
  </si>
  <si>
    <t>낱말이나 구, 문장을 읽고 의미를 이해한다.</t>
  </si>
  <si>
    <t>[12심독03-02]</t>
  </si>
  <si>
    <t>다양한 대화문이나 텍스트를 읽고 내용과 의도를 추론한다.</t>
  </si>
  <si>
    <t>[12심독03-03]</t>
  </si>
  <si>
    <t>다양한 주제의 텍스트나 자료를 읽고 정보와 맥락을 파악한다.</t>
  </si>
  <si>
    <t>[12심독04-01]</t>
  </si>
  <si>
    <t>낱말이나 구, 문장을 어법에 맞게 쓴다.</t>
  </si>
  <si>
    <t>[12심독04-02]</t>
  </si>
  <si>
    <t>대화문이나 다양한 유형의 텍스트를 상황과 목적에 맞게 작성한다.</t>
  </si>
  <si>
    <t>[12심독04-03]</t>
  </si>
  <si>
    <t>[12심독05-01]</t>
  </si>
  <si>
    <t>독일어권 문화에 대한 심화된 내용을 이해한다.</t>
  </si>
  <si>
    <t>[12심독05-02]</t>
  </si>
  <si>
    <t>독일어권 문화에 대한 다양한 내용을 이해하여 독일어 의사소통 상황에 활용한다.</t>
  </si>
  <si>
    <t>이 성취기준은 학습을 통해 습득한 독일어권의 다양한 문화 내용에 대한 지식을 독일어로 이루어지는 의사소통 상황에서 적절히 활용하는 능력을 기르기 위해 설정하였다. 의사소통 상황과 목적에 맞는 표현을 적절히 선택하여 활용할 수 있는지에 초점을 맞춘다.</t>
  </si>
  <si>
    <t>[12심독05-03]</t>
  </si>
  <si>
    <t>독일어권 문화와 자신의 관심 분야를 연계하여 조사･정리한 내용을 설명한다.</t>
  </si>
  <si>
    <t>이 성취기준은 관심 분야 또는 진로와 관련된 주제를 탐색하고 자신의 진로･학업과 연계 및 활용하기 위해 설정한 것이다.</t>
  </si>
  <si>
    <t>[12심독05-04]</t>
  </si>
  <si>
    <t>[12독회01-01]</t>
  </si>
  <si>
    <t>[12독회01-02]</t>
  </si>
  <si>
    <t>구나 문장을 활용하여 다양한 상황을 묘사한다.</t>
  </si>
  <si>
    <t>이 성취기준은 다양한 주제의 일상적 의사소통 상황에서 [별표 Ⅱ]에 제시된 [의사소통 기본 표현]을 활용하여 대화의 주제나 대상을 적절히 묘사하거나 설명하는 능력을 기르기 위해 설정하였다.</t>
  </si>
  <si>
    <t>[12독회01-03]</t>
  </si>
  <si>
    <t>다양한 주제에 대한 사실적 정보를 설명한다.</t>
  </si>
  <si>
    <t>이 성취기준은 의식주, 여가 활동, 취미, 기념일, 디지털 매체 등의 생활 문화 영역에 속하는 다양한 주제에 대한 대화에서 사실적 정보를 요구하거나 제시할 수 있는 능력을 기르기 위해 설정하였다.</t>
  </si>
  <si>
    <t>[12독회01-04]</t>
  </si>
  <si>
    <t>자신의 감정이나 의사를 적절한 표현으로 말한다.</t>
  </si>
  <si>
    <t>[12독회01-05]</t>
  </si>
  <si>
    <t>다양한 주제에 대해 자신의 생각과 입장을 논리적으로 말한다.</t>
  </si>
  <si>
    <t>[12독회01-06]</t>
  </si>
  <si>
    <t>상황과 맥락에 맞게 다양한 의사소통 표현을 활용하여 대화한다.</t>
  </si>
  <si>
    <t>[12독회01-07]</t>
  </si>
  <si>
    <t>상대방의 말을 듣고 의도를 파악하거나 추론하여 대화를 이어간다.</t>
  </si>
  <si>
    <t>[12독회01-08]</t>
  </si>
  <si>
    <t>일상생활과 관련하여 세부 정보를 묻거나 대답한다.</t>
  </si>
  <si>
    <t>[12독회01-09]</t>
  </si>
  <si>
    <t>다양한 매체를 통해 이해한 내용을 요약하여 말한다.</t>
  </si>
  <si>
    <t>이 성취기준은 특정한 과제 또는 자신의 관심사와 관련하여 기존의 교과서나 참고서 등의 종이 매체 외에 다양한 인공지능 기반의 디지털 매체 등을 활용하여 이해한 내용을 요약하여 말할 수 있는 능력을 기르기 위해 설정하였다.</t>
  </si>
  <si>
    <t>[12독회01-10]</t>
  </si>
  <si>
    <t>대면 또는 비대면 의사소통 활동에 흥미와 자신감을 가지고 협력적으로 참여한다.</t>
  </si>
  <si>
    <t>이 성취기준은 대면 또는 비대면으로 이루어지는 의사소통 상황에서 독일어로 대화하는 것에 대한 두려움보다는 흥미와 관심을 가지고 상대방과의 대화에 적극적이고 협력적인 자세로 참여하는 것을 말한다.</t>
  </si>
  <si>
    <t>[12독문01-01]</t>
  </si>
  <si>
    <t>독일어권 문화에 대한 다양한 내용을 이해한다.</t>
  </si>
  <si>
    <t>이 성취기준은 독일어권의 언어문화, 생활 문화, 사회 문화 그리고 한독 교류 영역에서 빈번하게 언급되는 대표적인 문화 내용들에 대한 기본적인 지식을 갖추기 위해 설정하였다.</t>
  </si>
  <si>
    <t>[12독문01-02]</t>
  </si>
  <si>
    <t>이 성취기준은 학습을 통해 습득한 독일어권 문화 내용을 의사소통 상황에서 적절히 활용하는 능력을 기르기 위해 설정하였다. 예를 들어 [별표 Ⅱ]에 제시된 [의사소통 기본 표현]의 ‘인사와 소개’ 범주에서 표현들을 사용하고자 할 때 상황과 목적에 맞는 표현을 적절히 선택하거나, 표정이나 몸짓 등의 비언어적 표현을 병행하여 활용할 수 있다.</t>
  </si>
  <si>
    <t>[12독문01-03]</t>
  </si>
  <si>
    <t>독일어권 문화에 대한 자료를 다양한 매체를 활용하여 조사하고, 정리한 내용을 설명한다.</t>
  </si>
  <si>
    <t>[12독문01-04]</t>
  </si>
  <si>
    <t>독일어권 문화와 자신의 관심 분야를 연계하여 조사하고 정리･심화한다.</t>
  </si>
  <si>
    <t>이 성취기준은 관심 분야 또는 진로와 관련된 주제를 독일어 또는 우리말로 된 자료를 토대로 탐색하여 자신의 진로･학업과 연계 및 활용하는 능력을 말하는 것으로 교과 간 연계와 통합을 위해 설정하였다.</t>
  </si>
  <si>
    <t>[12독문01-05]</t>
  </si>
  <si>
    <t>독일어권 문화에 대한 자료를 분석하고 비판적으로 해석하여 다양한 매체를 통해 공유한다.</t>
  </si>
  <si>
    <t>[12독문01-06]</t>
  </si>
  <si>
    <t>독일어권 문화와 우리 문화의 차이점과 공통점을 비교한다.</t>
  </si>
  <si>
    <t>이 성취기준은 독일어권 문화와 우리 문화를 상호문화적 관점에서 비교･분석함으로써 문화의 다양성과 공통성을 이해하고 나아가 우리 문화의 정체성에 대한 올바른 인식을 정립하기 위해 설정하였다.</t>
  </si>
  <si>
    <t>[12독문01-07]</t>
  </si>
  <si>
    <t>[12프어01-01]</t>
  </si>
  <si>
    <t>[12프어01-02]</t>
  </si>
  <si>
    <t>낱말이나 간단한 구, 문장을 듣고 의미를 파악한다.</t>
  </si>
  <si>
    <t>[12프어01-03]</t>
  </si>
  <si>
    <t>간단한 의사소통 표현을 듣고 내용을 추론하거나 상황에 맞게 반응한다.</t>
  </si>
  <si>
    <t>이 성취기준은 일상생활에서 사용하는 간단한 의사소통 표현을 듣고 상황에 맞게 행동이나 말 또는 글로 표현하여 반응하는 것을 의미한다.</t>
  </si>
  <si>
    <t>[12프어01-04]</t>
  </si>
  <si>
    <t>[12프어02-01]</t>
  </si>
  <si>
    <t>낱말이나 간단한 구, 문장을 발음 규칙에 유의하며 따라 말한다.</t>
  </si>
  <si>
    <t>이 성취기준은 프랑스어 철자와 발음의 상관관계 및 필수적 연음에 기초하여 낱말, 구, 문장을 따라 말하는 것을 의미한다.일반 선택 - 프랑스어</t>
  </si>
  <si>
    <t>[12프어02-02]</t>
  </si>
  <si>
    <t>간단한 의사소통 표현을 활용하여 상황에 맞게 대화한다.</t>
  </si>
  <si>
    <t>[12프어02-03]</t>
  </si>
  <si>
    <t>일상적이고 친숙한 주제에 대해 자신의 생각을 말한다.</t>
  </si>
  <si>
    <t>[12프어02-04]</t>
  </si>
  <si>
    <t>[12프어03-01]</t>
  </si>
  <si>
    <t>발음 규칙을 이해하고 낱말이나 간단한 구, 문장을 소리 내어 읽는다.</t>
  </si>
  <si>
    <t>[12프어03-02]</t>
  </si>
  <si>
    <t>간단한 시각 자료나 서식을 읽고 정보를 파악한다.</t>
  </si>
  <si>
    <t>이 성취기준은 포스터, 광고문, 간판, 등록 카드 등을 읽고 내용을 파악하는 것을 의미한다.</t>
  </si>
  <si>
    <t>[12프어03-03]</t>
  </si>
  <si>
    <t>간단한 대화문이나 자료를 읽고 내용을 이해하거나 상황에 맞게 반응한다.</t>
  </si>
  <si>
    <t>[12프어04-01]</t>
  </si>
  <si>
    <t>낱말이나 간단한 구, 문장을 어법에 맞게 쓴다.</t>
  </si>
  <si>
    <t>[12프어04-02]</t>
  </si>
  <si>
    <t>간단한 글과 서식을 상황과 목적에 맞게 작성한다.</t>
  </si>
  <si>
    <t>이 성취기준은 간단한 문장으로 메모, 문자 메시지, 초대장 등을 쓰는 것을 의미한다.</t>
  </si>
  <si>
    <t>[12프어04-03]</t>
  </si>
  <si>
    <t>[12프어05-01]</t>
  </si>
  <si>
    <t>프랑스어권의 문화 내용을 이해한다.</t>
  </si>
  <si>
    <t>[12프어05-02]</t>
  </si>
  <si>
    <t>프랑스어권의 문화 내용을 프랑스어 의사소통에 활용한다.</t>
  </si>
  <si>
    <t>이 성취기준은 학습을 통해 습득한 프랑스어권의 문화 내용을 간단한 프랑스어 대화 상황에서 적절히 활용하는 것을 의미한다.예) A : Tu veux aller où en France cet été ?B : À Paris, capitale de la France.</t>
  </si>
  <si>
    <t>[12프어05-03]</t>
  </si>
  <si>
    <t>프랑스어권의 문화 내용을 조사･정리한다.</t>
  </si>
  <si>
    <t>[12프어05-04]</t>
  </si>
  <si>
    <t>프랑스어권 문화를 상호문화적 관점에서 우리 문화와 비교한다.</t>
  </si>
  <si>
    <t>[12프어05-05]</t>
  </si>
  <si>
    <t>[12심프01-01]</t>
  </si>
  <si>
    <t>낱말, 구, 문장의 의미를 파악한다.</t>
  </si>
  <si>
    <t>[12심프01-02]</t>
  </si>
  <si>
    <t>의사소통 표현을 듣고 상황에 맞게 반응한다.</t>
  </si>
  <si>
    <t>이 성취기준은 일상생활에서 사용하는 의사소통 표현을 듣고 상황에 맞게 몸짓이나 말 또는 글로 표현하여 반응하는 것을 의미한다.</t>
  </si>
  <si>
    <t>[12심프01-03]</t>
  </si>
  <si>
    <t>다양한 유형의 글이나 대화를 듣고 적절한 듣기 전략을 활용하여 정보를 파악하거나 추론한다.</t>
  </si>
  <si>
    <t>[12심프01-04]</t>
  </si>
  <si>
    <t>다양한 상황의 듣기 자료나 상대방의 말을 경청하고 호응한다.</t>
  </si>
  <si>
    <t>[12심프02-01]</t>
  </si>
  <si>
    <t>발음 규칙에 유의하며 낱말, 구, 문장을 자연스럽게 말한다.</t>
  </si>
  <si>
    <t>[12심프02-02]</t>
  </si>
  <si>
    <t>의사소통 표현을 활용하여 상황에 맞게 대화한다.</t>
  </si>
  <si>
    <t>[12심프02-03]</t>
  </si>
  <si>
    <t>다양한 주제에 대해 자신의 생각을 말한다.</t>
  </si>
  <si>
    <t>[12심프02-04]</t>
  </si>
  <si>
    <t>[12심프03-01]</t>
  </si>
  <si>
    <t>발음 규칙을 이해하고 자료를 소리 내어 읽는다.</t>
  </si>
  <si>
    <t>[12심프03-02]</t>
  </si>
  <si>
    <t>시각 자료나 서식을 읽고 정보 또는 맥락을 이해하거나 추론한다.</t>
  </si>
  <si>
    <t>이 성취기준은 포스터, 광고문, 간판, 등록 카드 등을 읽고 구체적인 내용을 파악하는 것을 의미한다.</t>
  </si>
  <si>
    <t>[12심프03-03]</t>
  </si>
  <si>
    <t>대화문이나 자료를 읽고 내용을 이해하거나 상황에 맞게 반응한다.</t>
  </si>
  <si>
    <t>[12심프04-01]</t>
  </si>
  <si>
    <t>낱말, 구, 문장을 어법에 맞게 쓴다.</t>
  </si>
  <si>
    <t>[12심프04-02]</t>
  </si>
  <si>
    <t>다양한 주제의 글과 서식을 상황과 목적에 맞게 작성한다.</t>
  </si>
  <si>
    <t>[12심프04-03]</t>
  </si>
  <si>
    <t>적절한 쓰기 전략을 활용하여 다양한 유형의 글쓰기 학습을 계획하고 실천한다.</t>
  </si>
  <si>
    <t>이 성취기준은 우선 주어진 주제와 같은 주제의 글을 찾아 모방하는 글을 쓰고, 이어 자기 상황과 목적에 맞게 자유로운 글쓰기 활동을 하는 방향으로 나아가는 것을 의미한다.</t>
  </si>
  <si>
    <t>[12심프04-04]</t>
  </si>
  <si>
    <t>[12심프05-01]</t>
  </si>
  <si>
    <t>[12심프05-02]</t>
  </si>
  <si>
    <t>이 성취기준은 학습을 통해 습득한 프랑스어권의 문화 내용을 프랑스어 대화 상황에서 적절히 활용하는 것을 의미한다.</t>
  </si>
  <si>
    <t>[12심프05-03]</t>
  </si>
  <si>
    <t>[12심프05-04]</t>
  </si>
  <si>
    <t>프랑스어권 문화와 우리 문화와의 공통점과 차이점을 비교한다.</t>
  </si>
  <si>
    <t>[12심프05-05]</t>
  </si>
  <si>
    <t>프랑스어권 문화에 관심을 가지고 탐구 활동에 적극적으로 참여한다.</t>
  </si>
  <si>
    <t>[12프회01-01]</t>
  </si>
  <si>
    <t>낱말, 구, 문장을 듣고 발음 규칙에 유의하며 따라 말한다.</t>
  </si>
  <si>
    <t>이 성취기준은 프랑스어 철자와 발음의 상관관계 및 연음에 기초하여 낱말, 구, 문장을 따라 말하는 것을 의미한다.</t>
  </si>
  <si>
    <t>[12프회01-02]</t>
  </si>
  <si>
    <t>의사소통 표현을 듣고 상황에 맞게 반응하거나 답한다.</t>
  </si>
  <si>
    <t>[12프회01-03]</t>
  </si>
  <si>
    <t>의사소통 표현을 활용하여 목적에 맞게 말한다.</t>
  </si>
  <si>
    <t>[12프회01-04]</t>
  </si>
  <si>
    <t>의사소통 표현을 활용하여 자신의 주변 상황에 대해 묘사한다.</t>
  </si>
  <si>
    <t>[12프회01-05]</t>
  </si>
  <si>
    <t>다양한 주제의 대화나 자료를 듣고 내용에 대해 묻거나 답한다.</t>
  </si>
  <si>
    <t>[12프회01-06]</t>
  </si>
  <si>
    <t>다양한 주제의 대화나 자료를 듣고 내용을 파악하여 반응한다.</t>
  </si>
  <si>
    <t>[12프회01-07]</t>
  </si>
  <si>
    <t>다양한 주제의 대화나 자료를 듣고 맥락이나 의도를 파악하여 자신의 의견을 말한다.</t>
  </si>
  <si>
    <t>[12프회01-08]</t>
  </si>
  <si>
    <t>일상적인 주제에 대해 자신의 의견이나 감정을 표현한다.</t>
  </si>
  <si>
    <t>[12프회01-09]</t>
  </si>
  <si>
    <t>일상적인 주제에 대해 상황과 목적에 맞게 묻거나 답한다.</t>
  </si>
  <si>
    <t>[12프회01-10]</t>
  </si>
  <si>
    <t>[12프회01-11]</t>
  </si>
  <si>
    <t>[12프문01-01]</t>
  </si>
  <si>
    <t>[12프문01-02]</t>
  </si>
  <si>
    <t>[12프문01-03]</t>
  </si>
  <si>
    <t>다양한 매체를 활용하여 프랑스어권 문화에 대해 조사･정리한다.</t>
  </si>
  <si>
    <t>[12프문01-04]</t>
  </si>
  <si>
    <t>프랑스어권 문화에 관한 자료를 분석하고 설명한다.</t>
  </si>
  <si>
    <t>[12프문01-05]</t>
  </si>
  <si>
    <t>자신의 관심 분야와 연계하여 프랑스어권 문화 자료를 조사하고 정리･심화한다.</t>
  </si>
  <si>
    <t>이 성취기준은 프랑스어권의 문화 내용 가운데 자신의 진로나 관심 있는 분야(주제)에 대하여 정보를 수집하고 정리하는 활동을 의미한다. 이 성취기준은 교과 간 연계와 통합, 진로 설계, 자료를 분석･활용하는 데 필요한 능력을 기르기 위해 설정하였다.</t>
  </si>
  <si>
    <t>[12프문01-06]</t>
  </si>
  <si>
    <t>상호문화적 관점에서 한국 문화와 프랑스어권 문화의 공통점과 차이점을 이해한다.</t>
  </si>
  <si>
    <t>이 성취기준에서 ‘상호문화적 관점’이란 각 문화의 다양성을 인정하고 상호 관계와 소통을 중시하는 문화적 접근 방식을 말한다.</t>
  </si>
  <si>
    <t>[12프문01-07]</t>
  </si>
  <si>
    <t>프랑스어권 문화에 대해 호기심을 가지고 탐구 활동에 적극적으로 참여한다.</t>
  </si>
  <si>
    <t>[12스어01-01]</t>
  </si>
  <si>
    <t>이 성취기준은 스페인어의 자음과 모음의 특성, 음절구조 및 강세의 특성에 기초하여 낱말을 구별하는 것을 의미한다.</t>
  </si>
  <si>
    <t>[12스어01-02]</t>
  </si>
  <si>
    <t>낱말이나 간단한 구, 문장을 듣고 의미를 이해한다.</t>
  </si>
  <si>
    <t>[12스어01-03]</t>
  </si>
  <si>
    <t>간단한 의사소통 표현을 듣고 상황에 맞게 반응한다.</t>
  </si>
  <si>
    <t>이 성취기준은 일상생활에서 접하게 되는 간단한 의사소통 표현을 듣고 상황에 맞게 말, 몸짓, 글 등으로 표현하여 반응하는 것을 의미한다.</t>
  </si>
  <si>
    <t>[12스어01-04]</t>
  </si>
  <si>
    <t>간단한 말이나 대화를 듣고 세부 내용이나 핵심어, 주제, 맥락을 파악한다.</t>
  </si>
  <si>
    <t>[12스어01-05]</t>
  </si>
  <si>
    <t>상대방의 말이나 듣기 자료를 경청한다.</t>
  </si>
  <si>
    <t>[12스어02-01]</t>
  </si>
  <si>
    <t>낱말이나 간단한 구, 문장을 발음･강세･억양에 유의하여 말한다.</t>
  </si>
  <si>
    <t>[12스어02-02]</t>
  </si>
  <si>
    <t>간단한 의사소통 표현을 상황에 맞게 말한다.</t>
  </si>
  <si>
    <t>[12스어02-03]</t>
  </si>
  <si>
    <t>일상생활에서 접하는 친숙한 대상이나 상황에 대해 묘사하거나 설명한다.</t>
  </si>
  <si>
    <t>이 성취기준은 일상생활 중에 자기 주변에서 자주 접하는 사람, 사물, 상황에 대한 외면적 특징, 성격, 위치, 상태, 원인, 결과 등을 말로 표현하는 것을 의미한다. 일반 선택 - 스페인어</t>
  </si>
  <si>
    <t>[12스어02-04]</t>
  </si>
  <si>
    <t>친숙한 일상적인 사실이나 쉬운 주제에 대해 간단히 자신의 생각을 말한다.</t>
  </si>
  <si>
    <t>[12스어02-05]</t>
  </si>
  <si>
    <t>[12스어03-01]</t>
  </si>
  <si>
    <t>낱말이나 간단한 구, 문장을 발음･강세･억양에 유의하며 소리 내어 읽는다.</t>
  </si>
  <si>
    <t>[12스어03-02]</t>
  </si>
  <si>
    <t>낱말이나 간단한 구, 문장을 읽고 의미를 이해한다.</t>
  </si>
  <si>
    <t>[12스어03-03]</t>
  </si>
  <si>
    <t>간단한 글이나 자료, 대화문을 읽고 세부 내용이나 핵심어, 주제, 맥락을 파악한다.</t>
  </si>
  <si>
    <t>이 성취기준은 일상생활에서 자주 접할 수 있고 활용도가 높은 간단한 글이나, 대화문, 사회 관계망 서비스(SNS), 초대장, 메모, 설명문, 묘사문, 소개문뿐만 아니라 스페인어가 포함된 광고문, 포스터, 안내문 등 시각적 요소가 강조된 사실 자료를 읽고 세부 내용을 파악하거나 핵심어, 주제, 맥락을 파악하는 것을 의미한다.</t>
  </si>
  <si>
    <t>[12스어04-01]</t>
  </si>
  <si>
    <t>낱말이나 간단한 구, 문장을 받아쓴다.</t>
  </si>
  <si>
    <t>[12스어04-02]</t>
  </si>
  <si>
    <t>[12스어04-03]</t>
  </si>
  <si>
    <t>간단한 대화문을 상황과 어법에 맞게 작성한다.</t>
  </si>
  <si>
    <t>[12스어04-04]</t>
  </si>
  <si>
    <t>간단한 글이나 서식을 목적과 어법에 맞게 작성한다.</t>
  </si>
  <si>
    <t>이 성취기준은 간단한 글을 작성하거나, 신상 카드, 온라인 가입 양식, 주문서, 출입국 신고서, 우편물 송장 등의 형식을 이해하고 필요한 내용을 스페인어로 채워 넣는 것을 의미한다.</t>
  </si>
  <si>
    <t>[12스어05-01]</t>
  </si>
  <si>
    <t>스페인어권의 문화 내용을 이해한다.</t>
  </si>
  <si>
    <t>[12스어05-02]</t>
  </si>
  <si>
    <t>스페인어권의 문화 내용을 스페인어 의사소통 상황에 활용한다.</t>
  </si>
  <si>
    <t>이 성취기준은 학습을 통해 습득한 스페인어권 문화 내용에 대한 지식을 스페인어로 이루어지는 대화 등의 상황에서 질문이나 대답, 설명에 적절히 활용하는 것을 의미한다.</t>
  </si>
  <si>
    <t>[12스어05-03]</t>
  </si>
  <si>
    <t>스페인어권의 문화 내용을 조사･정리한다.</t>
  </si>
  <si>
    <t>[12스어05-04]</t>
  </si>
  <si>
    <t>매체를 활용하여 스페인어권의 문화 내용을 설명한다.</t>
  </si>
  <si>
    <t>[12스어05-05]</t>
  </si>
  <si>
    <t>스페인어권 문화에 대해 호기심을 갖고 수업이나 과제 활동에 적극적으로 참여한다.</t>
  </si>
  <si>
    <t>[12심스01-01]</t>
  </si>
  <si>
    <t>[12심스01-02]</t>
  </si>
  <si>
    <t>이 성취기준은 일상생활에서 접하게 되는 의사소통 표현을 듣고 상황에 맞게 말, 몸짓, 글 등으로 표현하여 반응하는 것을 의미한다.</t>
  </si>
  <si>
    <t>[12심스01-03]</t>
  </si>
  <si>
    <t>일상생활이나 친숙한 주제에 관한 말이나 대화를 듣고 세부 내용이나 핵심어, 주제, 맥락을 파악한다.</t>
  </si>
  <si>
    <t>[12심스01-04]</t>
  </si>
  <si>
    <t>[12심스02-01]</t>
  </si>
  <si>
    <t>낱말이나 구, 문장을 발음･강세･억양에 유의하여 말한다.</t>
  </si>
  <si>
    <t>[12심스02-02]</t>
  </si>
  <si>
    <t>의사소통 표현을 상황에 맞게 말한다.</t>
  </si>
  <si>
    <t>[12심스02-03]</t>
  </si>
  <si>
    <t>일상생활에서 접하는 대상이나 상황에 대해 묘사하거나 설명한다.</t>
  </si>
  <si>
    <t>이 성취기준은 일상생활에서 접하는 사람, 사물, 상황에 대한 외면적 특징, 성격, 위치, 상태, 원인, 결과 등을 말로 표현하는 것을 의미한다.</t>
  </si>
  <si>
    <t>[12심스02-04]</t>
  </si>
  <si>
    <t>친숙하고 일상적인 사실이나 쉬운 주제에 관해 자신의 생각을 말한다.</t>
  </si>
  <si>
    <t>[12심스02-05]</t>
  </si>
  <si>
    <t>[12심스03-01]</t>
  </si>
  <si>
    <t>낱말이나, 구, 문장을 읽고 의미를 이해한다.</t>
  </si>
  <si>
    <t>[12심스03-02]</t>
  </si>
  <si>
    <t>글이나 자료, 대화문을 읽고 세부 내용이나 핵심어, 주제, 맥락을 파악한다.</t>
  </si>
  <si>
    <t>이 성취기준은 일상생활에서 접할 수 있고 활용도가 높은 글이나 대화문, 사회 관계망 서비스(SNS), 초대장, 메모, 설명문, 묘사문, 소개문뿐만 아니라 스페인어가 포함된 광고문, 포스터, 안내문 등 시각적 요소가 강조된 사실 자료를 읽고 세부 내용이나 핵심어, 주제, 맥락을 파악하는 것을 의미한다.</t>
  </si>
  <si>
    <t>[12심스03-03]</t>
  </si>
  <si>
    <t>일상생활이나 친숙한 주제의 글을 읽고 필자의 의도나 목적을 추론한다.</t>
  </si>
  <si>
    <t>[12심스04-01]</t>
  </si>
  <si>
    <t>[12심스04-02]</t>
  </si>
  <si>
    <t>대화문을 상황과 어법에 맞게 작성한다.</t>
  </si>
  <si>
    <t>[12심스04-03]</t>
  </si>
  <si>
    <t>글이나 서식을 목적과 어법에 맞게 작성한다.</t>
  </si>
  <si>
    <t>이 성취기준은 글을 작성하거나, 신상 카드, 온라인 가입 양식, 주문서, 출입국 신고서, 우편물 송장 등의 형식을 이해하고 필요한 내용을 스페인어로 채워 넣는 것을 의미한다.</t>
  </si>
  <si>
    <t>[12심스04-04]</t>
  </si>
  <si>
    <t>일상생활이나 친숙한 주제에 관한 글을 읽고 간단하게 요약한다.</t>
  </si>
  <si>
    <t>[12심스05-01]</t>
  </si>
  <si>
    <t>[12심스05-02]</t>
  </si>
  <si>
    <t>이 성취기준은 학습을 통해 습득한 스페인어권의 문화 내용에 대한 지식을 스페인어로 이루어지는 대화 등의 상황에서 질문이나 대답, 설명에 적절히 활용하는 것을 의미한다.</t>
  </si>
  <si>
    <t>[12심스05-03]</t>
  </si>
  <si>
    <t>스페인어권의 문화 내용을 조사하고, 정보를 분석･정리한다.</t>
  </si>
  <si>
    <t>[12심스05-04]</t>
  </si>
  <si>
    <t>다양한 매체를 활용하여 스페인어권의 문화 내용을 설명한다.</t>
  </si>
  <si>
    <t>[12심스05-05]</t>
  </si>
  <si>
    <t>[12스회01-01]</t>
  </si>
  <si>
    <t>[12스회01-02]</t>
  </si>
  <si>
    <t>간단한 말이나 대화를 듣고 내용을 말한다.</t>
  </si>
  <si>
    <t>[12스회01-03]</t>
  </si>
  <si>
    <t>[12스회01-04]</t>
  </si>
  <si>
    <t>[12스회01-05]</t>
  </si>
  <si>
    <t>일상생활에 관한 정보를 묻거나 대답한다.</t>
  </si>
  <si>
    <t>[12스회01-06]</t>
  </si>
  <si>
    <t>[12스회01-07]</t>
  </si>
  <si>
    <t>[12스회01-08]</t>
  </si>
  <si>
    <t>[12스회01-09]</t>
  </si>
  <si>
    <t>다양한 매체를 통해 접한 내용을 요약하여 말한다.</t>
  </si>
  <si>
    <t>[12스회01-10]</t>
  </si>
  <si>
    <t>상대방을 존중하며 대화에 적극적으로 참여한다.</t>
  </si>
  <si>
    <t>[12스문01-04]</t>
  </si>
  <si>
    <t>[12스문01-05]</t>
  </si>
  <si>
    <t>상호문화적 관점에서 스페인어권 문화와 한국 문화의 공통점과 차이점을 이해한다.</t>
  </si>
  <si>
    <t>[12스문01-06]</t>
  </si>
  <si>
    <t>스페인어권 문화와 자신의 관심 분야를 연계하여 조사하고, 내용을 정리･심화한다.</t>
  </si>
  <si>
    <t>이 성취기준은 자신의 관심과 장래 계획에 맞추어, 스페인어권 문화를 연계･탐구함으로써 흥미를 가지고 문화 내용을 심화할 수 있는 성취기준이다.</t>
  </si>
  <si>
    <t>[12스문01-07]</t>
  </si>
  <si>
    <t>[12중어01-01]</t>
  </si>
  <si>
    <t>[12중어01-02]</t>
  </si>
  <si>
    <t>낱말이나 구, 간단한 문장을 듣고 의미를 파악한다.</t>
  </si>
  <si>
    <t>[12중어01-03]</t>
  </si>
  <si>
    <t>일상생활과 관련된 간단한 대화문이나 짧은 글을 듣고 의미를 파악한다.</t>
  </si>
  <si>
    <t>[12중어01-04]</t>
  </si>
  <si>
    <t>짧은 글이나 대화를 듣고 말의 의도를 추측하거나 그에 상응하는 반응을 보인다.</t>
  </si>
  <si>
    <t>[12중어02-01]</t>
  </si>
  <si>
    <t>낱말이나 구, 간단한 문장을 발음에 유의하여 말한다.</t>
  </si>
  <si>
    <t>[12중어02-02]</t>
  </si>
  <si>
    <t>낱말이나 구, 간단한 문장을 활용하여 질문하거나 대답한다.</t>
  </si>
  <si>
    <t>[12중어02-03]</t>
  </si>
  <si>
    <t>학습한 의사소통 표현을 상황에 맞게 자신감을 가지고 말한다.</t>
  </si>
  <si>
    <t>[12중어02-04]</t>
  </si>
  <si>
    <t>다양한 매체를 활용하여 적극적으로 자신의 생각과 느낌을 말한다.</t>
  </si>
  <si>
    <t>[12중어03-01]</t>
  </si>
  <si>
    <t>[12중어03-02]</t>
  </si>
  <si>
    <t>낱말이나 구, 간단한 문장을 발음에 유의하여 읽고 의미를 파악한다.</t>
  </si>
  <si>
    <t>[12중어03-03]</t>
  </si>
  <si>
    <t>간단한 대화문이나 글, 시각 자료를 읽고 주제나 의미를 파악한다.</t>
  </si>
  <si>
    <t>이 성취기준은 초대장, 메모, 일기, 안내문, 광고문 등의 간단한 중국어 자료를 읽고 해당 텍스트의 핵심어와 주요 의미를 파악하는 수준을 의미한다.</t>
  </si>
  <si>
    <t>[12중어03-04]</t>
  </si>
  <si>
    <t>디지털 매체상의 간단한 글을 찾아 읽고 주제나 의미를 파악한다.</t>
  </si>
  <si>
    <t>이 성취기준에서 디지털 매체상의 간단한 글은 이메일, 사회 관계망 서비스(SNS), 메신저 등의 텍스트를 의미한다.</t>
  </si>
  <si>
    <t>[12중어04-01]</t>
  </si>
  <si>
    <t>낱말이나 구, 간단한 문장을 한어병음이나 한자로 정확하게 쓴다.</t>
  </si>
  <si>
    <t>[12중어04-02]</t>
  </si>
  <si>
    <t>낱말의 용법과 기본 어순에 유의하여 짧은 문장을 작성한다.</t>
  </si>
  <si>
    <t>[12중어04-03]</t>
  </si>
  <si>
    <t>다양한 유형의 텍스트에서 요구되는 간단한 정보를 기입한다.</t>
  </si>
  <si>
    <t>이 성취기준은 디지털 기기 활용 시 한어병음으로 중국어를 입력하는 경우도 포함한다.</t>
  </si>
  <si>
    <t>[12중어04-04]</t>
  </si>
  <si>
    <t>상황이나 목적에 맞게 간단한 글을 작성한다.</t>
  </si>
  <si>
    <t>[12중어05-01]</t>
  </si>
  <si>
    <t>중국 문화 내용을 이해하여 중국어 의사소통 상황에 활용한다.</t>
  </si>
  <si>
    <t>[12중어05-02]</t>
  </si>
  <si>
    <t>중국 문화 내용을 조사하고 정보를 요약하거나 분석한다.</t>
  </si>
  <si>
    <t>[12중어05-03]</t>
  </si>
  <si>
    <t>상호문화적 관점에서 한중 문화를 비교하고 문화적 다양성을 이해한다.</t>
  </si>
  <si>
    <t>[12중어05-04]</t>
  </si>
  <si>
    <t>[12중어05-05]</t>
  </si>
  <si>
    <t>[12심중01-01]</t>
  </si>
  <si>
    <t>낱말이나 구, 문장을 듣고 의미를 파악한다.</t>
  </si>
  <si>
    <t>[12심중01-02]</t>
  </si>
  <si>
    <t>상대방의 말을 경청하고 말의 의도를 이해하거나 그에 상응하는 반응을 보인다.</t>
  </si>
  <si>
    <t>[12심중01-03]</t>
  </si>
  <si>
    <t>적절한 듣기 전략을 활용하여 대화나 이야기를 듣고, 대의를 파악한다.</t>
  </si>
  <si>
    <t>이 성취기준은 발음과 성조 변별, 연상, 추측 등 다양한 듣기 전략 중 학습자 수준에 맞는 적절한 듣기 전략을 활용하여 대화나 이야기를 듣고 대략적인 의미를 파악할 수 있는 수준을 말한다.</t>
  </si>
  <si>
    <t>[12심중02-01]</t>
  </si>
  <si>
    <t>발음에 유의하여 낱말이나 구, 문장을 자연스럽게 말한다.</t>
  </si>
  <si>
    <t>[12심중02-02]</t>
  </si>
  <si>
    <t>낱말이나 구, 문장을 활용하여 질문하거나 대답한다.</t>
  </si>
  <si>
    <t>[12심중02-03]</t>
  </si>
  <si>
    <t>학습한 의사소통 표현을 활용하여 상황에 맞게 자신감을 가지고 말한다.</t>
  </si>
  <si>
    <t>[12심중02-04]</t>
  </si>
  <si>
    <t>[12심중03-01]</t>
  </si>
  <si>
    <t>한어병음이나 한자로 된 문장, 짧은 글을 소리 내어 읽는다.</t>
  </si>
  <si>
    <t>[12심중03-02]</t>
  </si>
  <si>
    <t>대화문이나 짧은 글을 의미 단위로 끊어 읽으면서 내용을 이해한다.</t>
  </si>
  <si>
    <t>[12심중03-03]</t>
  </si>
  <si>
    <t>적절한 읽기 전략을 활용하여 대화문, 글, 시각 자료를 읽고 주제나 의미를 파악한다.</t>
  </si>
  <si>
    <t>[12심중03-04]</t>
  </si>
  <si>
    <t>디지털 매체상의 다양한 형식의 글을 읽고 주요 정보를 파악하고 비판적으로 수용한다.</t>
  </si>
  <si>
    <t>이 성취기준에서 디지털 매체상의 다양한 형식의 글은 문자메시지, 이메일, 사회 관계망 서비스(SNS), 초대장, 메모, 일기, 안내문, 광고문 등을 의미한다.</t>
  </si>
  <si>
    <t>[12심중04-01]</t>
  </si>
  <si>
    <t>낱말이나 구, 문장을 한어병음이나 한자로 정확하게 쓴다.</t>
  </si>
  <si>
    <t>[12심중04-02]</t>
  </si>
  <si>
    <t>낱말의 용법과 어순 등 어법에 유의하여 문장을 작성한다.</t>
  </si>
  <si>
    <t>[12심중04-03]</t>
  </si>
  <si>
    <t>다양한 유형의 텍스트에서 요구되는 정보를 기입한다.</t>
  </si>
  <si>
    <t>이 성취기준은 디지털 기기에서 한어병음으로 중국어를 입력하는 경우도 포함한다.</t>
  </si>
  <si>
    <t>[12심중04-04]</t>
  </si>
  <si>
    <t>상황이나 목적에 맞게 다양한 서식의 글을 작성한다.</t>
  </si>
  <si>
    <t>이 성취기준에서 일컫는 다양한 서식이란 자기소개서, 신상 카드, 온라인 가입 양식이나 주문서, 출입국 신고서 등을 의미한다.</t>
  </si>
  <si>
    <t>[12심중04-05]</t>
  </si>
  <si>
    <t>한자 쓰기에 흥미를 갖고 쓰기 활동에 적극적으로 참여한다.</t>
  </si>
  <si>
    <t>[12심중05-01]</t>
  </si>
  <si>
    <t>중국인의 생활에 반영된 문화를 이해하고 중국어 의사소통 상황에 활용한다.</t>
  </si>
  <si>
    <t>이 성취기준은 학습을 통해 습득한 문화 내용을 대화 상황에서 적절히 활용하는 것을 의미한다. 특히 중국인의 언어문화를 이해하여 의사소통에 활용하면 더욱 수준 높은 중국어를 구사할 수 있다.</t>
  </si>
  <si>
    <t>[12심중05-02]</t>
  </si>
  <si>
    <t>중국의 문화 내용을 조사하고 정보를 요약하거나 분석한다.</t>
  </si>
  <si>
    <t>[12심중05-03]</t>
  </si>
  <si>
    <t>[12심중05-04]</t>
  </si>
  <si>
    <t>이 성취기준은 자신의 관심 분야와 관련된 중국 문화를 주제로 자료 조사･분석 및 토론을 통한 폭넓은 식견을 접해 보고 자신의 최종 견해를 발표하는 등 일련의 과정을 통해, 학습자가 진로와의 연계성을 모색하고, 융합적 사고력을 신장하며 자아 정체성을 정립해 나간다는 의미이다.</t>
  </si>
  <si>
    <t>[12심중05-05]</t>
  </si>
  <si>
    <t>중국 문화와 자신의 관심 분야를 연계하여 조사･정리한 내용을 설명한다.</t>
  </si>
  <si>
    <t>[12심중05-06]</t>
  </si>
  <si>
    <t>[12중회01-01]</t>
  </si>
  <si>
    <t>[12중회01-02]</t>
  </si>
  <si>
    <t>발음과 억양에 유의하여 정확하게 말한다.</t>
  </si>
  <si>
    <t>[12중회01-03]</t>
  </si>
  <si>
    <t>상대방의 말을 듣고 그에 상응하는 반응을 보인다.</t>
  </si>
  <si>
    <t>[12중회01-04]</t>
  </si>
  <si>
    <t>보거나 듣거나 읽은 내용을 바탕으로 주요 의미와 맥락을 파악한다.</t>
  </si>
  <si>
    <t>[12중회01-05]</t>
  </si>
  <si>
    <t>듣기 활동 중 다양한 매체를 활용하여 필요한 정보와 자료를 검색한다.</t>
  </si>
  <si>
    <t>이 성취기준은 낱말이나 구, 문장 등을 듣고 디지털 기기를 활용하여 온라인 사전을 찾아보거나, 한국과 중국의 인터넷 사이트, 신문, 잡지, 서적 등에서 관련 정보와 자료를 검색하는 것을 의미한다.</t>
  </si>
  <si>
    <t>[12중회01-06]</t>
  </si>
  <si>
    <t>상황과 맥락에 맞게 의사소통 표현을 활용하여 질문하거나 답한다.</t>
  </si>
  <si>
    <t>[12중회01-07]</t>
  </si>
  <si>
    <t>보거나 듣거나 읽은 내용을 간단하게 요약하거나 설명한다.</t>
  </si>
  <si>
    <t>[12중회01-08]</t>
  </si>
  <si>
    <t>[12중회01-09]</t>
  </si>
  <si>
    <t>경청하고 공감하며 대화에 적극적으로 참여한다.</t>
  </si>
  <si>
    <t>[12중회01-10]</t>
  </si>
  <si>
    <t>중국, 중국어와 자신의 관심 분야를 연계하여 조사･정리한 내용을 설명한다.</t>
  </si>
  <si>
    <t>이 성취기준은 중국, 중국어와 관련하여 자신의 관심 분야 자료를 조사하고 정리하여 발표하는 과정을 통해 진로와의 연계성을 모색하고, 융합적 사고력을 신장하여 자아 정체성을 정립해 나간다는 의미이다. 이는 진로 분야를 확장하는 데도 도움이 될 수 있다.</t>
  </si>
  <si>
    <t>[12중회01-11]</t>
  </si>
  <si>
    <t>중국어에 대해 호기심을 갖고 수업이나 과제 활동에 적극적으로 참여한다.</t>
  </si>
  <si>
    <t>[12중문01-01]</t>
  </si>
  <si>
    <t>[12중문01-02]</t>
  </si>
  <si>
    <t>중국의 다양한 문화에 대해 조사하고 정보를 분석･정리한다.</t>
  </si>
  <si>
    <t>[12중문01-03]</t>
  </si>
  <si>
    <t>상호문화적 관점에서 한중 문화를 비교하여 공통점과 차이점을 이해한다.</t>
  </si>
  <si>
    <t>[12중문01-04]</t>
  </si>
  <si>
    <t>다양한 중국 문화를 직간접적으로 체험하고, 다양한 매체를 활용하여 정보를 공유한다.</t>
  </si>
  <si>
    <t>[12중문01-05]</t>
  </si>
  <si>
    <t>디지털 매체를 활용하여 얻은 정보를 비판적으로 분석하고 해석하여 자신의 의견을 표현한다.</t>
  </si>
  <si>
    <t>[12중문01-06]</t>
  </si>
  <si>
    <t>이 성취기준은 자신의 관심 분야와 관련된 중국 문화를 주제로 자료 조사･분석 및 토론을 통한 폭넓은 식견을 접해 보고 자신의 최종 견해를 발표하는 등 일련의 과정을 통해, 학습자가 자신의 삶과의 연계성을 모색하고, 융합적 사고력을 신장하며 자아 정체성을 정립해 나간다는 의미이다.</t>
  </si>
  <si>
    <t>[12중문01-07]</t>
  </si>
  <si>
    <t>[12일어01-01]</t>
  </si>
  <si>
    <t>[12일어01-02]</t>
  </si>
  <si>
    <t>낱말, 간단한 구나 문장을 듣고 의미와 내용을 이해한다.</t>
  </si>
  <si>
    <t>[12일어01-03]</t>
  </si>
  <si>
    <t>일상생활과 관련된 간단한 글이나 대화를 듣고 핵심어나 대의를 파악하거나 추론한다.</t>
  </si>
  <si>
    <t>[12일어01-04]</t>
  </si>
  <si>
    <t>간단한 글이나 대화를 경청하고 적절하게 반응한다.</t>
  </si>
  <si>
    <t>이 성취기준은 의사소통 표현을 활용한 간단한 글이나 대화를 듣고 상황에 맞게 손짓, 몸짓 등으로 표현하거나, 내용과 적절한 그림, 낱말 카드, 체크리스트 등을 선택하는 것을 말한다.</t>
  </si>
  <si>
    <t>[12일어02-01]</t>
  </si>
  <si>
    <t>음성적 특징에 유의하여 낱말, 간단한 구나 문장을 말한다.</t>
  </si>
  <si>
    <t>이 성취기준은 청･탁음, 장･단음, 요음, 촉음, 발음(撥音), 박(拍), 억양 등 발음상의 특징에 유의하여 낱말, 간단한 구나 문장을 말하는 것을 의미한다.일반 선택 - 일본어</t>
  </si>
  <si>
    <t>[12일어02-02]</t>
  </si>
  <si>
    <t>간단한 구나 문장으로 자신의 생각이나 느낌을 말한다.</t>
  </si>
  <si>
    <t>[12일어02-03]</t>
  </si>
  <si>
    <t>간단한 의사소통 기본 표현을 활용하여 상황에 맞게 말한다.</t>
  </si>
  <si>
    <t>[12일어02-04]</t>
  </si>
  <si>
    <t>지위나 친밀도를 고려하고 언어문화적 차이를 존중하며 상황에 맞게 말한다.</t>
  </si>
  <si>
    <t>[12일어02-05]</t>
  </si>
  <si>
    <t>[12일어03-01]</t>
  </si>
  <si>
    <t>음성적 특징에 유의하여 낱말, 한자, 간단한 구나 문장을 소리 내어 읽는다.</t>
  </si>
  <si>
    <t>이 성취기준은 청･탁음, 장･단음, 요음, 촉음, 발음(撥音), 박(拍), 억양 등 발음상의 특징에 유의하여 낱말, 한자, 간단한 구나 문장을 소리 내어 읽는 것을 의미한다.</t>
  </si>
  <si>
    <t>[12일어03-02]</t>
  </si>
  <si>
    <t>낱말, 간단한 구나 문장을 읽고 의미를 이해한다.</t>
  </si>
  <si>
    <t>[12일어03-03]</t>
  </si>
  <si>
    <t>간단한 글이나 대화문을 읽고 대의나 세부 내용을 파악하거나 추론한다.</t>
  </si>
  <si>
    <t>[12일어03-04]</t>
  </si>
  <si>
    <t>간단한 디지털 텍스트를 읽고 주요 정보를 이해한다.</t>
  </si>
  <si>
    <t>이 성취기준은스마트폰, 컴퓨터 등의 디지털 매체를 기반으로 생산된 간단한 문자 메시지, 메일, 블로그, 사회 관계망 서비스(SNS), 웹 문서 등의 글을 읽고 이해하는 것을 의미한다.</t>
  </si>
  <si>
    <t>[12일어04-01]</t>
  </si>
  <si>
    <t>가나와 학습용 한자, 낱말을 바르게 쓴다.</t>
  </si>
  <si>
    <t>이 성취기준은 가나와 기본 어휘표에서 ‘( )’로 제시한 학습용 한자와 낱말을 바르게 쓸 수 있는 것을 의미한다.</t>
  </si>
  <si>
    <t>[12일어04-02]</t>
  </si>
  <si>
    <t>간단한 구나 문장을 표기법과 어법에 맞게 쓴다.</t>
  </si>
  <si>
    <t>이 성취기준은 일본의 ‘현대가나표기법(杯♏־םט־ַ), 상용한자(䅻榫庣㰄), 오쿠리가나 붙이는 법(鴜׽♞⺲ס♀ׄ亠)’ 등의 표기법 규정과 ‘일본어문법사전(仼儖鏤乃嫎◄⪯), 신판일본어교육사전(二撶仼儖鏤䷷罫◄⪯), 현대일본어문법(杯♏仼儖鏤乃嫎)’ 등의 어법 규정에 맞게 쓰는 것을 의미한다.</t>
  </si>
  <si>
    <t>[12일어04-03]</t>
  </si>
  <si>
    <t>간단한 대화문이나 글을 상황과 목적에 맞게 작성한다.</t>
  </si>
  <si>
    <t>[12일어04-04]</t>
  </si>
  <si>
    <t>지위나 친밀도, 언어문화적 차이를 고려하여 간단한 글을 형식에 맞게 작성한다.</t>
  </si>
  <si>
    <t>이 성취기준은 문자 메시지, 메일, 연하장, 엽서, 초대장 등의 간단한 글이나 대화를 지위나 친밀도 등의 차이를 고려하여 정중체나 보통체로 형식에 맞게 작성하는 것을 말한다.</t>
  </si>
  <si>
    <t>[12일어05-01]</t>
  </si>
  <si>
    <t>[12일어05-02]</t>
  </si>
  <si>
    <t>일본 문화 내용을 조사･정리하여 다양한 콘텐츠를 제작한다.</t>
  </si>
  <si>
    <t>이 성취기준은 일본 문화에 대하여 조사･정리한 내용을 바탕으로 보고서, 리플릿, 포스터, 동영상 등의 다양한 콘텐츠를 생산해 내는 것을 의미한다.</t>
  </si>
  <si>
    <t>[12일어05-03]</t>
  </si>
  <si>
    <t>일본 문화 내용을 상호문화적 관점에서 온오프라인으로 의견을 공유한다.</t>
  </si>
  <si>
    <t>이 성취기준은 문화의 다양성과 차이점을 인정하고 한국인과 일본인이 지향하는 가치들을 서로 이해하고 존중하면서 일본 문화에 대해 조사･정리한 내용을 온오프라인으로 발표･토론하고, 자료나 의견을 공유하는 것을 말한다.</t>
  </si>
  <si>
    <t>[12일어05-04]</t>
  </si>
  <si>
    <t>이 성취기준은 의사소통 상황에서 일본인의 언어문화･비언어 문화를 활용하고 일상생활 문화, 전통문화 등의 문화 내용을 소재로 다루는 것을 말한다. 일본어의 언어문화 특징으로는 의뢰 방법, 승낙･거절 방법, 호칭 방법, 칭찬 방법, 표현적 특징 등을 들 수 있다. 표현적 특징의 예로는 관용적 표현(갹ֿ䇶ַ, כם׽ס菊ע颋ַ등), 결혼식에서 삼가는 말(⮉׾, ⮯׿׾, 䢙׾ 등), 병원에서 삼가는 말(ֽ⩕妳ך׌־, ׈׻ֹ ם׼ 등), 헤어질 때 사용하는 다양한 표현(׈׻ֹ ם׼, ֽ妳؅חׄ י, ֽ⩕妳ך 등), 한국어와 표현 방법이 다른 것(ֵ׿׆׿, 车זג׽全ג׽, ׵ֹ ┉䈱 등) 등이 있다. 비언어 문화의 특징으로는 자신을 가리킬 때 검지로 자신의 코를 가리킨다거나 식사 전후 두 손을 모으는 행위 등을 들 수 있다.</t>
  </si>
  <si>
    <t>[12일어05-05]</t>
  </si>
  <si>
    <t>[12심일01-01]</t>
  </si>
  <si>
    <t>음성적 특징에 유의하여 구나 다소 긴 문장을 듣고 의미를 파악한다.</t>
  </si>
  <si>
    <t>이 성취기준은 청･탁음, 장･단음, 요음, 촉음, 발음(撥音), 박(拍), 억양 등 발음상의 특징에 유의하여 구나 다소 긴 문장을 듣고 의미를 파악하는 것을 말한다.</t>
  </si>
  <si>
    <t>[12심일01-02]</t>
  </si>
  <si>
    <t>일상생활과 관련된 다소 긴 글이나 대화를 듣고 대의나 주제를 파악하거나 추론한다.</t>
  </si>
  <si>
    <t>[12심일01-03]</t>
  </si>
  <si>
    <t>다소 긴 글이나 대화를 듣고 세부 내용을 파악한다.</t>
  </si>
  <si>
    <t>[12심일01-04]</t>
  </si>
  <si>
    <t>다소 긴 글이나 대화를 경청하고 적절히 반응한다.</t>
  </si>
  <si>
    <t>이 성취기준은 의사소통 표현을 활용한 다소 긴 글이나 대화를 듣고 상황에 맞게 손짓, 몸짓 등으로 표현하거나, 내용과 적절한 그림, 체크리스트 등을 선택하는 것을 말한다.</t>
  </si>
  <si>
    <t>[12심일02-01]</t>
  </si>
  <si>
    <t>음성적 특징에 유의하여 구나 다소 긴 문장을 말한다.</t>
  </si>
  <si>
    <t>이 성취기준은 청･탁음, 장･단음, 요음, 촉음, 발음(撥音), 박(拍), 억양 등 발음상의 특징에 유의하여 구나 다소 긴 문장을 말하는 것을 의미한다.진로 선택 – 심화 일본어</t>
  </si>
  <si>
    <t>[12심일02-02]</t>
  </si>
  <si>
    <t>다소 긴 문장으로 상황을 설명하거나 자신의 의사를 표현한다.</t>
  </si>
  <si>
    <t>[12심일02-03]</t>
  </si>
  <si>
    <t>의사소통 기본 표현을 활용하여 상황에 맞게 말한다.</t>
  </si>
  <si>
    <t>[12심일02-04]</t>
  </si>
  <si>
    <t>[12심일02-05]</t>
  </si>
  <si>
    <t>[12심일03-01]</t>
  </si>
  <si>
    <t>음성적 특징에 유의하여 다소 긴 글이나 대화문을 소리 내어 읽는다.</t>
  </si>
  <si>
    <t>이 성취기준은 청･탁음, 장･단음, 요음, 촉음, 발음(撥音), 박(拍), 억양 등 발음상의 특징에 유의하여 다소 긴 글이나 대화문을 소리 내어 읽는 것을 의미한다.</t>
  </si>
  <si>
    <t>[12심일03-02]</t>
  </si>
  <si>
    <t>다소 긴 글이나 대화문을 읽고 대의나 세부 내용을 파악하거나 추론한다.</t>
  </si>
  <si>
    <t>[12심일03-03]</t>
  </si>
  <si>
    <t>다소 긴 디지털 텍스트를 적극적으로 찾아 읽고 주요 정보를 이해한다.</t>
  </si>
  <si>
    <t>이 성취기준은 스마트폰, 컴퓨터 등의 디지털 매체를 기반으로 생산된 다소 긴 문자 메시지, 메일, 블로그, 사회 관계망 서비스(SNS), 웹 문서 등의 글을 읽고 이해하는 것을 의미한다.</t>
  </si>
  <si>
    <t>[12심일03-04]</t>
  </si>
  <si>
    <t>다소 긴 글이나 대화문을 읽고 지위나 친밀도, 언어문화적 차이 등을 이해한다.</t>
  </si>
  <si>
    <t>[12심일04-01]</t>
  </si>
  <si>
    <t>표기법에 유의하여 학습용 한자가 포함된 다소 긴 문장을 정확하게 쓴다.</t>
  </si>
  <si>
    <t>이 성취기준은 가나와 기본 어휘표에서 ‘( )’ 형식으로 제시한 학습용 한자가 포함된 다소 긴 문장을 정확하게 쓸 수 있음을 의미한다. ‘표기법’은 일본의 ‘현대가나표기법(杯♏־םט־ַ), 상용한자(䅻榫庣㰄), 오쿠리가나 붙이는 법(鴜׽♞⺲ס♀ׄ亠)’ 등의 규정에 따른다.</t>
  </si>
  <si>
    <t>[12심일04-02]</t>
  </si>
  <si>
    <t>다소 긴 대화문을 상황과 어법에 맞게 작성한다.</t>
  </si>
  <si>
    <t>이 성취기준은 ‘일본어문법사전(仼儖鏤乃嫎◄⪯), 신판일본어교육사전(二撶仼儖鏤䷷罫◄⪯), 현대일본어문법(杯♏仼儖鏤乃嫎)’ 등의 어법 규정에 맞게 쓰는 것을 의미한다.</t>
  </si>
  <si>
    <t>[12심일04-03]</t>
  </si>
  <si>
    <t>다소 긴 글이나 서식을 목적과 어법에 맞게 작성한다.</t>
  </si>
  <si>
    <t>[12심일04-04]</t>
  </si>
  <si>
    <t>지위나 친밀도, 언어문화적 차이 등을 고려하여 다소 긴 글을 주제와 형식에 맞게 작성한다.</t>
  </si>
  <si>
    <t>이 성취기준은 문자 메시지, 메일, 연하장, 엽서, 초대장 등의 다소 긴 글이나 대화를 지위나 친밀도 등의 차이를 고려하여 정중체나 보통체로 주제와 형식에 맞게 작성하는 것을 말한다.</t>
  </si>
  <si>
    <t>[12심일05-01]</t>
  </si>
  <si>
    <t>[12심일05-02]</t>
  </si>
  <si>
    <t>[12심일05-03]</t>
  </si>
  <si>
    <t>[12심일05-04]</t>
  </si>
  <si>
    <t>이 성취기준은 의사소통 상황에서 일본인의 언어문화･비언어 문화를 활용하고 일상생활 문화, 전통문화 등의 문화 내용을 소재로 다루는 것을 말한다. 일본어의 언어문화적 특징으로는 의뢰 방법, 승낙･거절 방법, 호칭 방법, 칭찬 방법, 표현적 특징 등을 들 수 있다. 표현적 특징의 예로는 관용적 표현(갹ֿ䇶ַ, כם׽ס菊ע颋ַ등), 결혼식에서 삼가는 말(⮉׾, ⮯׿׾, 䢙׾ 등), 병원에서 삼가는 말(ֽ⩕妳ך׌־, ׈׻ֹם׼ 등), 헤어질 때 사용하는 다양한 표현(׈׻ֹם׼, ֽ妳؅חׄי, ֽ⩕妳ך 등), 한국어와 표현 방법이 다른 것(ֵ׿׆׿, 车זג׽全ג׽, ׵ֹ┉䈱 등) 등이 있다. 비언어 문화의 특징으로는 자신을 가리킬 때 검지로 자신의 코를 가리키거나 식사 전후 두 손을 모으는 행위 등을 들 수 있다.</t>
  </si>
  <si>
    <t>[12심일05-05]</t>
  </si>
  <si>
    <t>[12일회01-01]</t>
  </si>
  <si>
    <t>음성적 특징에 유의하여 낱말, 간단한 구나 문장을 듣고 자연스럽게 말한다.</t>
  </si>
  <si>
    <t>이 성취기준은 청･탁음, 장･단음, 요음, 촉음, 발음(撥音), 박(拍), 억양 등 발음상의 특징에 유의하여 낱말, 간단한 구나 문장을 듣고 자연스럽게 말하는 것을 의미한다.</t>
  </si>
  <si>
    <t>[12일회01-02]</t>
  </si>
  <si>
    <t>일상생활과 관련된 간단한 글이나 대화를 듣고 내용을 파악한다.</t>
  </si>
  <si>
    <t>[12일회01-03]</t>
  </si>
  <si>
    <t>간단한 구와 문장을 활용하여 다양한 상황을 묘사하거나 설명한다.</t>
  </si>
  <si>
    <t>[12일회01-04]</t>
  </si>
  <si>
    <t>구체적인 사실이나 사건에 대해 온오프라인으로 정보를 교환하며 대화한다.</t>
  </si>
  <si>
    <t>[12일회01-05]</t>
  </si>
  <si>
    <t>다양한 관심 주제에 대해 조사하고 자신의 의견이나 생각을 말한다.</t>
  </si>
  <si>
    <t>[12일회01-06]</t>
  </si>
  <si>
    <t>의사소통 기본 표현을 활용하여 상황과 맥락에 맞게 말한다.</t>
  </si>
  <si>
    <t>[12일회01-07]</t>
  </si>
  <si>
    <t>[12일회01-08]</t>
  </si>
  <si>
    <t>[12일회01-09]</t>
  </si>
  <si>
    <t>[12일회01-10]</t>
  </si>
  <si>
    <t>지위나 친밀도, 언어문화적 차이를 고려하여 상황에 맞게 말한다.</t>
  </si>
  <si>
    <t>[12일회01-11]</t>
  </si>
  <si>
    <t>상대방을 존중하며 의사소통 활동에 흥미와 자신감을 가지고 적극적으로 참여한다.</t>
  </si>
  <si>
    <t>[12일문01-01]</t>
  </si>
  <si>
    <t>[12일문01-02]</t>
  </si>
  <si>
    <t>일본 문화에 관한 다양한 글이나 디지털 텍스트에서 주제를 찾거나 내용을 요약한다.</t>
  </si>
  <si>
    <t>이 성취기준은 인쇄된 문서를 비롯한 스마트폰, 컴퓨터 등의 디지털 매체를 기반으로 생산된 문자 메시지, 메일, 블로그, 사회 관계망 서비스(SNS), 웹 문서 등의 글을 읽고 주제를 찾거나 내용을 요약하는 것을 말한다.</t>
  </si>
  <si>
    <t>[12일문01-03]</t>
  </si>
  <si>
    <t>일본 문화 내용을 조사하고 정보를 분석･정리한다.</t>
  </si>
  <si>
    <t>[12일문01-04]</t>
  </si>
  <si>
    <t>다양한 매체를 활용하여 일본 문화 내용을 설명한다.</t>
  </si>
  <si>
    <t>[12일문01-05]</t>
  </si>
  <si>
    <t>[12일문01-06]</t>
  </si>
  <si>
    <t>언어문화･비언어 문화를 포함한 일본 문화 내용을 일본어 의사소통 상황에 맞게 표현한다.</t>
  </si>
  <si>
    <t>이 성취기준은 의사소통 상황에서 일본인의 언어문화･비언어 문화를 활용하고 일상생활 문화, 전통문화 등의 문화 내용을 소재로 다루는 것을 말한다. 일본어의 언어문화 특징으로는 의뢰 방법, 승낙･거절 방법, 호칭 방법, 칭찬 방법, 표현적 특징 등을 들 수 있다. 표현적 특징의 예로는 관용적 표현(갹ֿ䇶ַ, כם׽ס菊ע颋ַ등), 결혼식에서 삼가는 말(⮉׾, ⮯׿׾, 䢙׾ 등), 병원에서 삼가는 말(ֽ⩕妳ך׌־, ׈׻ֹם׼ 등), 헤어질 때 사용하는 다양한 표현(׈׻ֹם׼, ֽ妳؅חׄי, ֽ⩕妳ך 등), 한국어와 표현 방법이 다른 것(ֵ׿׆׿, 车זג׽全ג׽, ׵ֹ┉䈱 등) 등이 있다. 비언어 문화의 특징으로는 자신을 가리킬 때 검지로 자신의 코를 가리키거나 식사 전후 두 손을 모으는 행위 등을 들 수 있다.</t>
  </si>
  <si>
    <t>[12일문01-07]</t>
  </si>
  <si>
    <t>일본 문화와 자신의 관심 분야를 연계하여 정보를 조사하고, 내용을 정리･심화한다.</t>
  </si>
  <si>
    <t>이 성취기준은 일본 문화 내용 중 자신의 진로나 관심 분야의 주제에 관한 융합 선택 – 일본 문화정보를 조사･정리한 내용을 바탕으로 발표･토론하거나 보고서 등의 작성을 통해 심화하는 것을 의미한다.</t>
  </si>
  <si>
    <t>[12일문01-08]</t>
  </si>
  <si>
    <t>[12러어01-01]</t>
  </si>
  <si>
    <t>이 성취기준은러시아어의 자음과 모음의 발음, 음절 구조 및 강세의 특성에 기초하여 낱말을 구별하는 것을 의미한다.</t>
  </si>
  <si>
    <t>[12러어01-02]</t>
  </si>
  <si>
    <t>[12러어01-03]</t>
  </si>
  <si>
    <t>이 성취기준은 일상생활에서 흔히 접할 수 있는 친숙한 주제에 대한 대화나 자료의 내용을 이해하고, 이를 바탕으로 핵심어와 세부 내용, 대화의 흐름, 화자 간의 관계 등의 정보와 맥락을 파악하는 것을 의미한다.</t>
  </si>
  <si>
    <t>[12러어01-04]</t>
  </si>
  <si>
    <t>[12러어02-01]</t>
  </si>
  <si>
    <t>낱말이나 간단한 구, 문장을 강세와 억양에 유의하여 말한다.</t>
  </si>
  <si>
    <t>[12러어02-02]</t>
  </si>
  <si>
    <t>이 성취기준은 일상생활의 간단한 의사소통 상황에서 화자의 의도 및 화자 간의 관계, 상황과 목적에 맞게 대화하는 것을 의미한다.</t>
  </si>
  <si>
    <t>[12러어02-03]</t>
  </si>
  <si>
    <t>[12러어02-04]</t>
  </si>
  <si>
    <t>[12러어03-01]</t>
  </si>
  <si>
    <t>낱말이나 간단한 구, 문장을 강세와 억양에 유의하여 소리 내어 읽는다.</t>
  </si>
  <si>
    <t>[12러어03-02]</t>
  </si>
  <si>
    <t>낱말이나 간단한 구, 문장을 읽고 의미와 내용을 이해한다.</t>
  </si>
  <si>
    <t>[12러어03-03]</t>
  </si>
  <si>
    <t>간단한 대화문이나 글을 읽고 정보와 맥락을 파악한다.</t>
  </si>
  <si>
    <t>[12러어03-04]</t>
  </si>
  <si>
    <t>[12러어04-01]</t>
  </si>
  <si>
    <t>낱말, 간단한 구, 문장을 정서법과 어법에 맞게 쓴다.</t>
  </si>
  <si>
    <t>[12러어04-02]</t>
  </si>
  <si>
    <t>[12러어04-03]</t>
  </si>
  <si>
    <t>[12러어05-01]</t>
  </si>
  <si>
    <t>러시아 문화 내용을 이해한다.</t>
  </si>
  <si>
    <t>[12러어05-02]</t>
  </si>
  <si>
    <t>러시아 문화 내용을 조사하여 설명한다.</t>
  </si>
  <si>
    <t>[12러어05-03]</t>
  </si>
  <si>
    <t>러시아 문화 내용을 러시아어 의사소통 상황에 활용한다.</t>
  </si>
  <si>
    <t>이 성취기준은 학습을 통해 습득한 문화 내용을 대화 상황에서 적절히 활용하는 것을 의미한다.</t>
  </si>
  <si>
    <t>[12러어05-04]</t>
  </si>
  <si>
    <t>러시아 문화에 관심을 갖고 수업이나 과제 활동에 자기주도적으로 참여한다.</t>
  </si>
  <si>
    <t>[12심러01-01]</t>
  </si>
  <si>
    <t>[12심러01-02]</t>
  </si>
  <si>
    <t>다양한 의사소통 표현을 듣고 상황에 맞게 적절히 반응한다</t>
  </si>
  <si>
    <t>[12심러01-03]</t>
  </si>
  <si>
    <t>다양한 주제의 글이나 대화를 듣고 정보와 맥락을 파악한다.</t>
  </si>
  <si>
    <t>이 성취기준은 다양한 주제의 대화나 자료 내용을 이해하고, 이를 바탕으로 핵심어와 세부 내용 등의 정보와 맥락을 파악할 수 있도록 설정된 것이다. 여기서는 [별표 Ⅱ]에 제시된 [의사소통 기본 표현]을 바탕으로 한 대화나 자료를 다루되, 필요에 따라 그 범위를 확장할 수 있다.</t>
  </si>
  <si>
    <t>[12심러01-04]</t>
  </si>
  <si>
    <t>타인의 말을 경청하며 듣기 활동에 적극적으로 참여한다.</t>
  </si>
  <si>
    <t>[12심러02-01]</t>
  </si>
  <si>
    <t>낱말이나 구, 문장을 발음 규칙에 유의하여 정확한 발음으로 말한다.</t>
  </si>
  <si>
    <t>[12심러02-02]</t>
  </si>
  <si>
    <t>다양한 의사소통 표현을 사용하여 상황과 맥락에 맞게 대화한다.</t>
  </si>
  <si>
    <t>이 성취기준은 일상생활의 다양한 의사소통 상황에서 화자의 의도 및 화자 간의 관계 등 상황과 맥락에 맞게 대화를 할 수 있도록 설정된 것이다. 여기서는 [별표 Ⅱ]에 제시된 [의사소통 기본 표현]을 기초로 한 대화나 자료를 다루되, 그 범위를 필요에 따라 확장할 수 있다. 진로 선택 – 심화 러시아어</t>
  </si>
  <si>
    <t>[12심러02-03]</t>
  </si>
  <si>
    <t>다양한 주제에 대해 자신의 의견과 느낌을 말한다.</t>
  </si>
  <si>
    <t>[12심러02-04]</t>
  </si>
  <si>
    <t>[12심러03-01]</t>
  </si>
  <si>
    <t>[12심러03-02]</t>
  </si>
  <si>
    <t>다양한 대화문이나 글을 읽고 내용과 의도를 추론한다.</t>
  </si>
  <si>
    <t>[12심러03-03]</t>
  </si>
  <si>
    <t>다양한 주제의 글이나 자료를 읽고 정보와 맥락을 파악한다.</t>
  </si>
  <si>
    <t>[12심러03-04]</t>
  </si>
  <si>
    <t>[12심러04-01]</t>
  </si>
  <si>
    <t>낱말이나 구, 문장을 정서법과 어법에 맞게 쓴다.</t>
  </si>
  <si>
    <t>[12심러04-02]</t>
  </si>
  <si>
    <t>대화문이나 다양한 유형의 글을 상황과 의도에 맞게 작성한다.</t>
  </si>
  <si>
    <t>[12심러04-03]</t>
  </si>
  <si>
    <t>[12심러05-01]</t>
  </si>
  <si>
    <t>[12심러05-02]</t>
  </si>
  <si>
    <t>러시아의 다양한 문화를 이해하고 이를 러시아어 의사소통 상황에 활용한다.</t>
  </si>
  <si>
    <t>이 성취기준은 학습을 통해 습득한 러시아어 표현을 대화 상황에서 적절히 활용하는 것을 의미한다. 예를 들어 [별표 Ⅱ]에 제시된 [의사소통 기본 표현]의 ‘인사 및 소개하기’를 상황에 맞게 활용할 수 있다.</t>
  </si>
  <si>
    <t>[12심러05-03]</t>
  </si>
  <si>
    <t>러시아 문화와 자신의 관심 분야를 연계하여 조사·정리한 내용을 설명한다.</t>
  </si>
  <si>
    <t>이 성취기준은 러시아 문화와 자신의 진로를 연계한 내용을 탐색하기 위하여 설정된 것이다.</t>
  </si>
  <si>
    <t>[12심러05-04]</t>
  </si>
  <si>
    <t>러시아 문화에 대해 호기심을 갖고 수업이나 과제 활동에 자기주도적으로 참여한다.</t>
  </si>
  <si>
    <t>[12러회01-01]</t>
  </si>
  <si>
    <t>낱말, 구, 문장을 발음･강세･억양에 유의하여 말한다.</t>
  </si>
  <si>
    <t>[12러회01-02]</t>
  </si>
  <si>
    <t>[12러회01-03]</t>
  </si>
  <si>
    <t>[12러회01-04]</t>
  </si>
  <si>
    <t>[12러회01-05]</t>
  </si>
  <si>
    <t>[12러회01-06]</t>
  </si>
  <si>
    <t>[12러회01-07]</t>
  </si>
  <si>
    <t>타인의 말을 듣고 의도를 파악하거나 추론하여 대화를 이어간다.</t>
  </si>
  <si>
    <t>[12러회01-08]</t>
  </si>
  <si>
    <t>[12러회01-09]</t>
  </si>
  <si>
    <t>[12러회01-10]</t>
  </si>
  <si>
    <t>이 성취기준은 대면 또는 비대면으로 이루어지는 의사소통 상황에서 러시아어로 대화하는 것에 대한 두려움보다는 흥미와 관심을 가지고 타인과의 대화에 적극적이고 협력적인 자세로 참여하는 자세를 말한다.</t>
  </si>
  <si>
    <t>[12러문01-01]</t>
  </si>
  <si>
    <t>[12러문01-02]</t>
  </si>
  <si>
    <t>러시아의 문화 내용을 러시아어 의사소통 상황에 활용한다.</t>
  </si>
  <si>
    <t>이 성취기준은 학습을 통해 습득한 간단한 러시아어 표현을 대화 상황에서 적절히 활용하는 것을 의미한다. 예를 들어 [별표 Ⅱ]에 제시된 [의사소통 기본 표현]의 ‘인사와 소개 표현’을 상황에 맞게 활용할 수 있다.</t>
  </si>
  <si>
    <t>[12러문01-03]</t>
  </si>
  <si>
    <t>러시아 문화의 세계적 의미를 이해한다.</t>
  </si>
  <si>
    <t>[12러문01-04]</t>
  </si>
  <si>
    <t>디지털 등 다양한 매체를 활용하여 러시아 문화의 내용을 조사한다.</t>
  </si>
  <si>
    <t>[12러문01-05]</t>
  </si>
  <si>
    <t>러시아 문화와 우리 문화의 공통점과 차이점을 이해한다.</t>
  </si>
  <si>
    <t>[12러문01-06]</t>
  </si>
  <si>
    <t>러시아 문화와 자신의 관심 분야를 연계하여 조사하고 내용을 정리ㆍ심화한다.</t>
  </si>
  <si>
    <t>이 성취기준은 자신의 진로와 연계하여 탐구할 수 있도록 설정된 것이다.</t>
  </si>
  <si>
    <t>[12러문01-07]</t>
  </si>
  <si>
    <t>타 문화 수용과 문화다양성 존중의 태도와 자세의 필요성에 대해 이해한다.</t>
  </si>
  <si>
    <t>[12아어01-01]</t>
  </si>
  <si>
    <t>발음 규칙에 유의하여 낱말을 듣고 자음과 모음, 소리와 철자를 식별한다.</t>
  </si>
  <si>
    <t>[12아어01-02]</t>
  </si>
  <si>
    <t>낱말, 간단한 구나 문장을 듣고 의미를 이해한다.</t>
  </si>
  <si>
    <t>[12아어01-03]</t>
  </si>
  <si>
    <t>일상생활과 관련된 간단한 글이나 대화를 듣고 상황에 맞게 반응한다.</t>
  </si>
  <si>
    <t>이 성취기준은 일상생활에서 기본적으로 수행하는 의사소통 표현을 경청하고 상황에 맞게 몸짓이나 말이나 글로 표현하여 반응하는 것을 의미한다.</t>
  </si>
  <si>
    <t>[12아어01-04]</t>
  </si>
  <si>
    <t>간단한 글이나 대화를 듣고 핵심어, 주제, 세부 내용을 파악한다.</t>
  </si>
  <si>
    <t>[12아어02-01]</t>
  </si>
  <si>
    <t>발음 규칙에 유의하여 낱말, 간단한 구나 문장을 말한다.</t>
  </si>
  <si>
    <t>이 성취기준은 아랍어의 자음과 모음, 발음기호, 강세, 억양, 장단, 연음, 보조모음의 특성에 유의하여 낱말, 간단한 구나 문장을 말하는 것을 의미한다.</t>
  </si>
  <si>
    <t>[12아어02-02]</t>
  </si>
  <si>
    <t>낱말, 간단한 구나 문장으로 대상이나 상황에 대해 묘사하거나 설명한다.</t>
  </si>
  <si>
    <t>[12아어02-03]</t>
  </si>
  <si>
    <t>간단한 문장이나 의사소통 표현을 활용하여 주제와 상황에 맞게 대화한다.</t>
  </si>
  <si>
    <t>[12아어02-04]</t>
  </si>
  <si>
    <t>일상생활이나 친숙한 주제에 대해 자신의 생각이나 느낌을 말한다.</t>
  </si>
  <si>
    <t>[12아어03-01]</t>
  </si>
  <si>
    <t>발음 규칙에 유의하여 낱말, 간단한 구나 문장을 소리 내어 정확하게 읽는다.</t>
  </si>
  <si>
    <t>이 성취기준은 아랍어의 자음과 모음, 발음기호, 강세, 억양, 장단, 연음, 보조모음의 특성에 유의하여 낱말, 간단한 구나 문장을 소리 내어 정확하게 읽는다는 것을 의미한다.</t>
  </si>
  <si>
    <t>[12아어03-02]</t>
  </si>
  <si>
    <t>[12아어03-03]</t>
  </si>
  <si>
    <t>간단한 글이나 대화문을 읽고 세부 내용을 파악한다.</t>
  </si>
  <si>
    <t>[12아어03-04]</t>
  </si>
  <si>
    <t>간단한 글이나 대화문을 읽고 핵심어나 주제, 맥락을 파악한다.</t>
  </si>
  <si>
    <t>[12아어04-01]</t>
  </si>
  <si>
    <t>낱말, 간단한 구나 문장을 어법에 맞게 쓴다.</t>
  </si>
  <si>
    <t>[12아어04-02]</t>
  </si>
  <si>
    <t>간단한 글이나 대화문을 상황과 목적에 맞게 작성한다.</t>
  </si>
  <si>
    <t>[12아어04-03]</t>
  </si>
  <si>
    <t>상황과 맥락에 맞게 정보를 기입한다.</t>
  </si>
  <si>
    <t>[12아어04-04]</t>
  </si>
  <si>
    <t>문장이나 의사소통 표현을 언어문화적 차이를 고려하여 작성한다.</t>
  </si>
  <si>
    <t>[12아어05-01]</t>
  </si>
  <si>
    <t>아랍 문화 내용을 이해한다.</t>
  </si>
  <si>
    <t>[12아어05-02]</t>
  </si>
  <si>
    <t>아랍 문화 내용을 조사하고 정리하여 설명한다.</t>
  </si>
  <si>
    <t>[12아어05-03]</t>
  </si>
  <si>
    <t>아랍 문화 내용을 아랍어 의사소통 상황에 활용한다.</t>
  </si>
  <si>
    <t>[12아어05-04]</t>
  </si>
  <si>
    <t>이 성취기준은 상호문화적 관점에서 한 사회의 문화를 그 사회가 처한 특수한 환경과 역사적 맥락 속에서 이해하고 평가하며 한국 문화와 상호 비교하는 데 필요한 능력과 발표 능력을 기르기 위해 설정하였다. 교과 학습 과정에서 한국과 아랍 문화의 공통점과 차이점을 이해하고 발표하는 기초 능력을 함양하기 위해 아랍 문화 조사 및 정리하기, 상호문화적 관점에서 한국 문화와 상호 비교하기, 조리 있게 표현하기 등을 학습한다.일반 선택 - 아랍어</t>
  </si>
  <si>
    <t>[12심아01-01]</t>
  </si>
  <si>
    <t>낱말을 듣고 자음과 모음, 소리와 철자를 정확하게 식별한다.</t>
  </si>
  <si>
    <t>이 성취기준은 아랍어의 자음과 모음, 발음기호, 강세, 억양, 연음, 보조모음의 특성에 유의하여 소리와 철자를 정확하게 구별하는 것을 의미한다.</t>
  </si>
  <si>
    <t>[12심아01-02]</t>
  </si>
  <si>
    <t>낱말, 구, 문장을 듣고 의미를 정확하게 이해한다.</t>
  </si>
  <si>
    <t>[12심아01-03]</t>
  </si>
  <si>
    <t>글이나 대화를 듣고 상황에 맞게 적절하게 반응한다.</t>
  </si>
  <si>
    <t>이 성취기준은 일상생활에서 수행하는 의사소통 표현을 경청하고 상황에 맞게 몸짓이나 말로 반응하거나 글로 표현하여 반응하는 것을 의미한다.</t>
  </si>
  <si>
    <t>[12심아01-04]</t>
  </si>
  <si>
    <t>글이나 대화를 듣고 핵심어나 대의를 파악하고 추론한다.</t>
  </si>
  <si>
    <t>[12심아01-05]</t>
  </si>
  <si>
    <t>글이나 대화를 듣고 세부 내용을 파악한다.</t>
  </si>
  <si>
    <t>[12심아02-01]</t>
  </si>
  <si>
    <t>낱말, 구, 문장을 정확하게 말한다.</t>
  </si>
  <si>
    <t>[12심아02-02]</t>
  </si>
  <si>
    <t>낱말, 구, 문장을 활용하여 상황을 묘사한다.</t>
  </si>
  <si>
    <t>이 성취기준은 주제와 상황에 맞게 적절한 낱말, 구, 문장을 활용하여 상황을 묘사하는 것을 의미한다.</t>
  </si>
  <si>
    <t>[12심아02-03]</t>
  </si>
  <si>
    <t>문장이나 의사소통 표현을 활용하여 주제와 상황에 맞게 대화한다.</t>
  </si>
  <si>
    <t>[12심아02-04]</t>
  </si>
  <si>
    <t>다양한 주제에 대해 자신의 생각이나 의도를 문장으로 설명한다.</t>
  </si>
  <si>
    <t>[12심아02-05]</t>
  </si>
  <si>
    <t>상대방을 존중하는 태도로 대화에 적극적으로 참여한다.</t>
  </si>
  <si>
    <t>[12심아03-01]</t>
  </si>
  <si>
    <t>낱말, 구, 문장을 소리 내어 정확하게 읽는다.</t>
  </si>
  <si>
    <t>이 성취기준은 아랍어의 자음과 모음, 발음기호, 강세, 억양, 연음, 보조모음의 특성에 유의하여 낱말, 구, 문장을 소리 내어 정확하게 읽는다는 것을 의미한다.</t>
  </si>
  <si>
    <t>[12심아03-02]</t>
  </si>
  <si>
    <t>문장이나 의사소통 표현을 읽고 의미를 이해한다.</t>
  </si>
  <si>
    <t>[12심아03-03]</t>
  </si>
  <si>
    <t>글이나 대화를 읽고 대의나 주제를 파악하거나 추론한다.</t>
  </si>
  <si>
    <t>[12심아03-04]</t>
  </si>
  <si>
    <t>글이나 대화를 읽고 세부 내용을 파악한다.</t>
  </si>
  <si>
    <t>[12심아03-05]</t>
  </si>
  <si>
    <t>글이나 대화를 읽고 언어문화적 차이 등을 파악한다.</t>
  </si>
  <si>
    <t>[12심아04-01]</t>
  </si>
  <si>
    <t>이 성취기준은 유사한 형태의 자음과 모음에 유의하여 낱말, 구, 문장을 정확하게 표기하는 것을 의미한다.</t>
  </si>
  <si>
    <t>[12심아04-02]</t>
  </si>
  <si>
    <t>글이나 대화문을 상황에 맞게 작성한다.</t>
  </si>
  <si>
    <t>[12심아04-03]</t>
  </si>
  <si>
    <t>다양한 주제의 글을 주제와 형식에 맞게 작성한다.</t>
  </si>
  <si>
    <t>[12심아04-04]</t>
  </si>
  <si>
    <t>상황과 맥락에 맞게 정보를 기입하거나 문장이나 의사소통 표현을 작성한다.</t>
  </si>
  <si>
    <t>[12심아04-05]</t>
  </si>
  <si>
    <t>글이나 대화문을 언어문화적 차이를 고려하여 쓴다.</t>
  </si>
  <si>
    <t>[12심아05-01]</t>
  </si>
  <si>
    <t>[12심아05-02]</t>
  </si>
  <si>
    <t>아랍 문화 내용을 자기주도적으로 조사하고 정리한다.</t>
  </si>
  <si>
    <t>[12심아05-03]</t>
  </si>
  <si>
    <t>관심 있는 아랍 문화 내용을 탐구하고 다양한 매체를 활용하여 공유한다.</t>
  </si>
  <si>
    <t>[12심아05-04]</t>
  </si>
  <si>
    <t>[12심아05-05]</t>
  </si>
  <si>
    <t>이 성취기준은 상호문화적 관점에서 한 사회의 문화를 그 사회가 처한 특수한 환경과 역사적 맥락 속에서 이해하고 평가하며 한국 문화와 상호 비교하는 데 필요한 능력과 발표 능력을 기르기 위해 설정하였다. 교과 학습 과정에서 한국과 아랍 문화의 공통점과 차이점을 이해하고 발표하는 능력을 함양하기 위해 아랍 문화 조사 및 정리하기, 상호문화적 관점에서 한국 문화와 상호 비교하기, 조리 있게 표현하기 등을 학습한다.진로 선택 – 심화 아랍어</t>
  </si>
  <si>
    <t>[12아회01-01]</t>
  </si>
  <si>
    <t>발음 규칙에 유의하여 낱말, 구, 문장을 듣고 말한다.</t>
  </si>
  <si>
    <t>이 성취기준은 아랍어의 자음과 모음, 발음기호, 강세, 억양, 장단, 연음, 보조모음의 특성에 유의하여 듣고 말하는 것을 의미한다.</t>
  </si>
  <si>
    <t>[12아회01-02]</t>
  </si>
  <si>
    <t>다양한 의사소통 표현을 듣고 상황에 맞게 반응한다.</t>
  </si>
  <si>
    <t>이 성취기준은 다양한 의사소통 표현을 듣고 상황에 맞게 몸짓이나 말로 반응하거나 글로 표현하여 반응하는 것을 의미한다.</t>
  </si>
  <si>
    <t>[12아회01-03]</t>
  </si>
  <si>
    <t>일상적인 의사소통 표현이나 간단한 정보를 듣고 맥락을 파악한다.</t>
  </si>
  <si>
    <t>[12아회01-04]</t>
  </si>
  <si>
    <t>일상생활과 관련된 글이나 대화를 듣고 내용을 이해한다.</t>
  </si>
  <si>
    <t>[12아회01-05]</t>
  </si>
  <si>
    <t>의사소통 기본 표현을 활용하여 주어진 상황에 맞게 대화한다.</t>
  </si>
  <si>
    <t>[12아회01-06]</t>
  </si>
  <si>
    <t>다양한 낱말, 구, 문장, 의사소통 표현을 활용하여 목적에 맞게 말한다.</t>
  </si>
  <si>
    <t>[12아회01-07]</t>
  </si>
  <si>
    <t>글이나 대화를 듣고 자신의 생각이나 느낌을 말한다.</t>
  </si>
  <si>
    <t>[12아회01-08]</t>
  </si>
  <si>
    <t>다양한 매체를 통해 듣거나 읽은 내용을 요약하여 말한다.</t>
  </si>
  <si>
    <t>[12아회01-09]</t>
  </si>
  <si>
    <t>낱말, 구, 문장을 활용하여 다양한 상황을 묘사한다.</t>
  </si>
  <si>
    <t>[12아회01-10]</t>
  </si>
  <si>
    <t>문장이나 의사소통 표현을 활용하여 일상적인 사실이나 주제를 설명한다.</t>
  </si>
  <si>
    <t>[12아회01-11]</t>
  </si>
  <si>
    <t>의사소통 표현을 활용하여 일상적인 주제에 대해 질문하거나 대답한다.</t>
  </si>
  <si>
    <t>[12아회01-12]</t>
  </si>
  <si>
    <t>대면 또는 비대면 의사소통 활동에 적극적으로 참여한다.</t>
  </si>
  <si>
    <t>[12아회01-13]</t>
  </si>
  <si>
    <t>아랍의 주요 문화 내용을 의사소통 상황에 활용한다.</t>
  </si>
  <si>
    <t>[12아문01-01]</t>
  </si>
  <si>
    <t>[12아문01-02]</t>
  </si>
  <si>
    <t>다양한 글이나 디지털 텍스트에서 아랍 문화에 관한 주제를 찾거나 내용을 요약한다.</t>
  </si>
  <si>
    <t>[12아문01-03]</t>
  </si>
  <si>
    <t>아랍 문화 내용에 대해 조사하고 정리한 내용을 설명한다.</t>
  </si>
  <si>
    <t>이 성취기준은 자료를 조사하고 분석 및 활용하는 데 필요한 능력과 발표 능력을 기르기 위해 설정하였다. 교과 학습 과정에서 다양한 아랍 문화를 조사하고 그 결과를 발표하는 학습 활동에 참여하기 위한 능력을 함양할 수 있도록 주제 고려하기, 필요한 내용 조사 및 정리하기, 자신 있게 발표하기 등을 학습한다.</t>
  </si>
  <si>
    <t>[12아문01-04]</t>
  </si>
  <si>
    <t>아랍인의 생활에 반영된 문화를 이해하고 아랍어 의사소통 상황에 활용한다.</t>
  </si>
  <si>
    <t>[12아문01-05]</t>
  </si>
  <si>
    <t>아랍 문화와 자신의 관심 분야를 연계하여 자료를 조사하고, 조사한 내용을 정리․심화한다.</t>
  </si>
  <si>
    <t>[12아문01-06]</t>
  </si>
  <si>
    <t>이 성취기준은 상호문화적 관점에서 한 사회의 문화를 그 사회가 처한 특수한 환경과 역사적 맥락 속에서 이해하고 평가하며 한국 문화와 상호 비교하는 데 필요한 능력과 발표 능력을 기르기 위해 설정하였다. 교과 학습 과정에서 한국과 아랍 문화의 공통점과 차이점을 이해하고 발표하는 능력을 함양하기 위해 아랍 문화 조사 및 정리하기, 상호문화적 관점에서 한국 문화와 상호 비교하기, 조리 있게 표현하기 등을 학습한다.</t>
  </si>
  <si>
    <t>[12아문01-07]</t>
  </si>
  <si>
    <t>아랍 문화에 대해 호기심을 가지고 수업이나 과제 활동에 적극적으로 참여한다.</t>
  </si>
  <si>
    <t>[12아문01-08]</t>
  </si>
  <si>
    <t>아랍 문화를 체험하고, 다양한 매체를 활용하여 정보를 공유한다.</t>
  </si>
  <si>
    <t>[12베어01-01]</t>
  </si>
  <si>
    <t>낱말이나 간단한 구, 문장을 듣고 발음 및 성조를 식별한다.</t>
  </si>
  <si>
    <t>[12베어01-02]</t>
  </si>
  <si>
    <t>[12베어01-03]</t>
  </si>
  <si>
    <t>일상생활과 관련된 간단한 글이나 대화를 듣고 세부 정보나 주제를 파악한다.</t>
  </si>
  <si>
    <t>[12베어01-04]</t>
  </si>
  <si>
    <t>간단한 듣기 자료나 상대방의 말을 경청하고 적절하게 반응한다.</t>
  </si>
  <si>
    <t>[12베어02-01]</t>
  </si>
  <si>
    <t>낱말이나 간단한 구, 문장을 발음과 성조에 유의하여 말한다.</t>
  </si>
  <si>
    <t>[12베어02-02]</t>
  </si>
  <si>
    <t>낱말이나 간단한 의사소통 표현을 상황에 맞게 말한다.</t>
  </si>
  <si>
    <t>[12베어02-03]</t>
  </si>
  <si>
    <t>일상에서 접하는 대상이나 상황에 대해 묘사하거나 설명한다.</t>
  </si>
  <si>
    <t>[12베어02-04]</t>
  </si>
  <si>
    <t>일상생활과 관련된 주제에 대해 자신의 생각이나 감정을 말한다.</t>
  </si>
  <si>
    <t>[12베어02-05]</t>
  </si>
  <si>
    <t>[12베어03-01]</t>
  </si>
  <si>
    <t>낱말이나 간단한 구, 문장을 발음과 성조에 유의하여 소리 내어 읽는다.</t>
  </si>
  <si>
    <t>이 성취기준은 낱말이나 간단한 구, 문장을 6개의 성조를 구분하여 정확한 발음으로 소리 내어 읽는 것을 의미한다.</t>
  </si>
  <si>
    <t>[12베어03-02]</t>
  </si>
  <si>
    <t>낱말이나 간단한 구, 문장을 읽고 의미를 파악한다.</t>
  </si>
  <si>
    <t>[12베어03-03]</t>
  </si>
  <si>
    <t>간단한 글이나 대화문을 읽고 세부 정보나 주제를 파악한다.</t>
  </si>
  <si>
    <t>[12베어04-01]</t>
  </si>
  <si>
    <t>낱말이나 간단한 구, 문장을 철자와 성조에 유의하여 쓴다.</t>
  </si>
  <si>
    <t>[12베어04-02]</t>
  </si>
  <si>
    <t>[12베어04-03]</t>
  </si>
  <si>
    <t>[12베어04-04]</t>
  </si>
  <si>
    <t>글쓰기에 흥미를 갖고 표현을 점검하여 고쳐 쓴다.</t>
  </si>
  <si>
    <t>[12베어05-01]</t>
  </si>
  <si>
    <t>[12베어05-02]</t>
  </si>
  <si>
    <t>[12베어05-03]</t>
  </si>
  <si>
    <t>베트남 문화에 대해 조사하고, 정보를 요약하거나 분석한다.</t>
  </si>
  <si>
    <t>[12베어05-04]</t>
  </si>
  <si>
    <t>베트남 문화와 관련된 주제에 대해 자신의 생각을 정리하여 설명한다.</t>
  </si>
  <si>
    <t>[12베어05-05]</t>
  </si>
  <si>
    <t>상호문화적 관점에서 한국 문화와 베트남 문화의 공통점과 차이점을 이해하고 표현한다.</t>
  </si>
  <si>
    <t>이 성취기준은문화의 다양성과 차이점을 인정하고 서로의 관계와 소통을 중시하는 문화적 접근 방식으로서의 ‘상호문화적 관점’에서 한국 문화와 베트남 문화를 비교하여 그 공통점과 차이점을 이해하고, 이해한 바를 말이나 글을 비롯한 다양한 방식으로 표현하는 것을 의미한다.</t>
  </si>
  <si>
    <t>[12심베01-01]</t>
  </si>
  <si>
    <t>[12심베01-02]</t>
  </si>
  <si>
    <t>글이나 대화를 듣고 의도나 목적을 추론한다.</t>
  </si>
  <si>
    <t>[12심베01-03]</t>
  </si>
  <si>
    <t>글이나 대화를 듣고 세부 정보나 맥락을 파악한다.</t>
  </si>
  <si>
    <t>[12심베01-04]</t>
  </si>
  <si>
    <t>듣기 자료나 상대방의 말을 경청하고 적절하게 반응한다.</t>
  </si>
  <si>
    <t>[12심베02-01]</t>
  </si>
  <si>
    <t>낱말이나 구, 문장을 발음과 성조에 유의하여 말한다.</t>
  </si>
  <si>
    <t>[12심베02-02]</t>
  </si>
  <si>
    <t>일상적인 주제나 사실에 대해 자신의 생각이나 감정을 말한다.</t>
  </si>
  <si>
    <t>[12심베02-03]</t>
  </si>
  <si>
    <t>[12심베02-04]</t>
  </si>
  <si>
    <t>[12심베03-01]</t>
  </si>
  <si>
    <t>낱말이나 구, 문장을 일정한 속도로 소리 내어 읽는다.</t>
  </si>
  <si>
    <t>이 성취기준은 낱말이나 구, 문장을 6개의 성조를 구분하여 정확한 발음으로 속도감 있게 소리 내어 읽는 것을 의미한다.</t>
  </si>
  <si>
    <t>[12심베03-02]</t>
  </si>
  <si>
    <t>낱말이나 구, 문장을 읽고 의미를 파악한다.</t>
  </si>
  <si>
    <t>[12심베03-03]</t>
  </si>
  <si>
    <t>글이나 대화문을 읽고 의도나 목적을 추론한다.</t>
  </si>
  <si>
    <t>이 성취기준은 일상생활을 주제로 한 글이나 대화문을 읽고 맥락을 고려하여 필자나 화자의 의도나 글 자체의 목적을 추론해 내는 것을 의미한다. 여기에서 ‘글’은 스마트폰, 컴퓨터 등의 디지털 기기를 기반으로 생산되는 문자, 이미지, 영상이 결합된 텍스트 등도 포함한다.</t>
  </si>
  <si>
    <t>[12심베03-04]</t>
  </si>
  <si>
    <t>글이나 대화문을 읽고 세부 정보와 맥락을 파악한다.</t>
  </si>
  <si>
    <t>이 성취기준은 일상생활을 주제로 한 글이나 대화문의 내용을 읽고 숫자, 위치, 사건 등의 세부 정보 및 일이나 사건의 순서, 전후 관계 등의 맥락을 논리적 파악하는 것을 의미한다. 여기에서 ‘글’은 스마트폰, 컴퓨터 등의 디지털 기기를 기반으로 생산되는 문자, 이미지, 영상이 결합된 텍스트 등도 포함한다.</t>
  </si>
  <si>
    <t>[12심베04-01]</t>
  </si>
  <si>
    <t>[12심베04-02]</t>
  </si>
  <si>
    <t>다양한 유형의 글이나 대화문을 상황과 목적에 맞게 작성한다.</t>
  </si>
  <si>
    <t>[12심베04-03]</t>
  </si>
  <si>
    <t>[12심베05-01]</t>
  </si>
  <si>
    <t>[12심베05-02]</t>
  </si>
  <si>
    <t>[12심베05-03]</t>
  </si>
  <si>
    <t>베트남 문화에 대해 조사하고, 정보를 분석･재구성한다.</t>
  </si>
  <si>
    <t>[12심베05-04]</t>
  </si>
  <si>
    <t>베트남 문화와 관련된 주제에 대해 자신의 입장이나 의견을 정리하여 설명한다.</t>
  </si>
  <si>
    <t>[12심베05-05]</t>
  </si>
  <si>
    <t>이 성취기준은문화의 다양성과 차이점을 인정하고 서로의 관계와 소통을 중시하는 상호문화적 관점에서 한국 문화와 베트남 문화를 비교하여 그 공통점과 차이점을 이해하고, 이해한 바를 말이나 글을 비롯한 다양한 방식으로 표현하는 것을 의미한다.</t>
  </si>
  <si>
    <t>[12베회01-01]</t>
  </si>
  <si>
    <t>이 성취기준은 베트남어 철자와 발음의 상관관계를 알고 6개의 성조를 구분하여 정확한 발음으로 말하는 것을 의미한다.</t>
  </si>
  <si>
    <t>[12베회01-02]</t>
  </si>
  <si>
    <t>일상생활과 관련된 글이나 대화를 듣고 내용을 파악한다.</t>
  </si>
  <si>
    <t>[12베회01-03]</t>
  </si>
  <si>
    <t>낱말이나 구, 문장을 활용하여 상황이나 대상을 묘사한다.</t>
  </si>
  <si>
    <t>[12베회01-04]</t>
  </si>
  <si>
    <t>다양한 의사소통 표현을 활용하여 자신의 생각이나 감정을 말한다.</t>
  </si>
  <si>
    <t>이 성취기준은 일상생활의 다양한 의사소통 상황에서 [별표 Ⅱ]에 제시된 [의사소통 기본 표현]을 기초로 하여 자신의 생각이나 감정을 말하되, 필요에 따라 그 범위를 확장하여 사용할 수 있음을 의미한다.</t>
  </si>
  <si>
    <t>[12베회01-05]</t>
  </si>
  <si>
    <t>일상생활에서의 경험이나 사건을 설명한다.</t>
  </si>
  <si>
    <t>[12베회01-06]</t>
  </si>
  <si>
    <t>다양한 주제에 대해 사실적 정보를 전달한다.</t>
  </si>
  <si>
    <t>[12베회01-07]</t>
  </si>
  <si>
    <t>듣거나 읽은 내용을 요약하여 말한다.</t>
  </si>
  <si>
    <t>이 성취기준은 듣거나 읽으며 이해한 내용의 주제, 핵심 내용, 일의 순서 등을 베트남어로 요약하여 말하는 것을 의미한다.</t>
  </si>
  <si>
    <t>[12베회01-08]</t>
  </si>
  <si>
    <t>상대방의 말을 듣고 의도를 파악하여 대화를 이어간다.</t>
  </si>
  <si>
    <t>[12베회01-09]</t>
  </si>
  <si>
    <t>일상생활과 관련하여 세부 정보를 묻거나 답한다.</t>
  </si>
  <si>
    <t>[12베회01-10]</t>
  </si>
  <si>
    <t>상대방의 말을 경청하고 존중하는 자세로 대화에 적극적으로 참여한다.</t>
  </si>
  <si>
    <t>이 성취기준은 학습자가 상대방의 입장과 감정을 고려하고 존중하는 자세로 소통의 즐거움을 깨닫고 적극적으로 대화에 참여하는 것을 의미한다. 이 과정에서 실수를 두려워하지 않고 자신감 있게 생각이나 감정을 표현하며 상대방을 존중･배려하는 태도를 기를 수 있어야 한다.</t>
  </si>
  <si>
    <t>[12베문01-01]</t>
  </si>
  <si>
    <t>[12베문01-02]</t>
  </si>
  <si>
    <t>[12베문01-03]</t>
  </si>
  <si>
    <t>베트남 문화에 대해 조사하고, 정보를 분석･정리한다.</t>
  </si>
  <si>
    <t>[12베문01-04]</t>
  </si>
  <si>
    <t>다양한 매체를 활용하여베트남 문화에 관한 정보를 전달한다.</t>
  </si>
  <si>
    <t>이 성취기준은 베트남 문화에 대해 조사･정리한 내용을 디지털 기반의 다양한 매체를 활용하여 발표하거나 타인과 공유하는 것을 의미한다.</t>
  </si>
  <si>
    <t>[12베문01-05]</t>
  </si>
  <si>
    <t>베트남 문화와 자신의 관심 분야를 연계하여 조사하고, 내용을 정리･심화한다.</t>
  </si>
  <si>
    <t>이 성취기준은 베트남 문화 중 자신의 관심 분야 또는 진로와 관련된 주제를 탐색하여 진로･학업과 연계 및 활용하기 위해 설정한 것으로, 관련 주제에 대해 자료를 조사･분석하여 발표･토론하거나 보고서, 리플릿, 동영상 등의 다양한 콘텐츠를 생산해 내는 것을 의미한다.</t>
  </si>
  <si>
    <t>[12베문01-06]</t>
  </si>
  <si>
    <t>이 성취기준은문화의 다양성과 차이점을 인정하고 서로의 관계와 소통을 중시하는 상호문화적 관점에서 한국 문화와 베트남 문화를 비교하여 그 공통점과 차이점을 이해하고, 이해한 바를 발표나 토론 등 다양한 방식으로 표현하는 것을 의미한다.</t>
  </si>
  <si>
    <t>[12베문01-07]</t>
  </si>
  <si>
    <t>베트남 문화에 대해 호기심을 가지고 수업이나 과제 활동에 적극적으로 참여한다.</t>
  </si>
  <si>
    <t>[9한01-01]</t>
  </si>
  <si>
    <t>한자의 모양⋅음⋅뜻을 구별한다.</t>
  </si>
  <si>
    <t>[9한01-02]</t>
  </si>
  <si>
    <t>한자가 만들어진 원리를 구별한다.</t>
  </si>
  <si>
    <t>이 성취기준은 한자가 만들어진 원리를 이해하여 한자의 모양과 음과 뜻을 익힐 수 있는 능력을 기르기 위해 설정하였다. ‘한자가 만들어진 원리’는 상형(象形), 지사(指事), 회의(會意), 형성(形聲)으로 나눌 수 있다.</t>
  </si>
  <si>
    <t>[9한01-03]</t>
  </si>
  <si>
    <t>단어의 짜임을 구별한다.</t>
  </si>
  <si>
    <t>이 성취기준은 단어의 짜임을 이해하여 한자 어휘의 뜻을 정확하게 파악하고 맥락에 맞게 활용할 수 있는 능력을 기르기 위해 설정하였다. ‘단어의 짜임’은 단어를 형성하는 의미 요소들 사이의 결합 관계를 말한다. 단어의 짜임은 문법적 기능에 따라 주술(主述) 관계, 술목(述目) 관계, 술보(述補) 관계, 수식(修飾) 관계, 병렬(竝列) 관계로 분류할 수 있다. 주술 관계는 주어와 서술어의 관계로 이루어진 단어이다. 주어는 서술어의 진술을 받는 대상이 되고, 서술어는 주어에 대해 진술하는 내용을 나타낸다. 술목 관계는 서술어와 목적어의 관계로 이루어진 단어이다. 서술어는 동작이나 행위 또는 소유(예: 有, 無)를 나타내고, 목적어는 그 대상이 된다. 술보 관계는 서술어와 보어의 관계로 이루어진 단어이다. 서술어는 동작, 행위, 상태 등을 나타내고, 보어는 서술어를 보충하여 부족한 뜻을 완전하게 해 준다. 수식 관계는 수식어와 피수식어의 관계로 이루어진 단어이다. 병렬 관계는 성분이 같은 말들이 나란히 놓여 이루어진 단어이다.</t>
  </si>
  <si>
    <t>[9한01-04]</t>
  </si>
  <si>
    <t>단어와 성어를 읽고 풀이한다.</t>
  </si>
  <si>
    <t>[9한01-05]</t>
  </si>
  <si>
    <t>단어와 성어를 맥락에 맞게 활용하여 소통하는 태도를 기른다.</t>
  </si>
  <si>
    <t>[9한01-06]</t>
  </si>
  <si>
    <t>한자 문화권의 문화에 대한 지식을 익혀 이해와 교류 증진에 참여하려는 태도를 기른다.</t>
  </si>
  <si>
    <t>이 성취기준은 한자 문화권의 문화를 이해하여 공감대를 형성하고 교류 증진에 참여하려는 태도를 기르기 위해 설정하였다. ‘한자 문화권의 문화에 대한 지식’은 한자 문화권이 공유하고 있는 한자를 매개로 형성된 보편적 문화에 대한 지식으로 간지(干支), 절기(節氣) 등이 있다.</t>
  </si>
  <si>
    <t>[9한02-01]</t>
  </si>
  <si>
    <t>문장의 구조를 구별한다.</t>
  </si>
  <si>
    <t>이 성취기준은 문장의 구조를 이해하여 기초적인 한문 독해 능력을 기르기 위해 설정하였다. ‘문장의 구조’에는 주술 구조, 주술목 구조, 주술보 구조, 주술목보 구조가 있다.</t>
  </si>
  <si>
    <t>[9한02-02]</t>
  </si>
  <si>
    <t>글을 의미에 맞게 읽는다.</t>
  </si>
  <si>
    <t>이 성취기준은 글을 의미와 맥락에 맞도록 정확하게 읽을 수 있는 능력을 기르기 위해 설정하였다. 여기에서 ‘의미에 맞게 읽기’는 음운 법칙에 맞게 읽기, 여러 가지 음을 지닌 한자는 문맥에 맞게 읽기, 띄어 읽기를 말한다.</t>
  </si>
  <si>
    <t>[9한02-03]</t>
  </si>
  <si>
    <t>글을 바르게 풀이한다.</t>
  </si>
  <si>
    <t>[9한02-04]</t>
  </si>
  <si>
    <t>글의 내용을 이해하고 주제를 파악한다.</t>
  </si>
  <si>
    <t>[9한02-05]</t>
  </si>
  <si>
    <t>글에 담긴 선인들의 지혜를 이해하여 미래 사회에 필요한 인성을 함양한다.</t>
  </si>
  <si>
    <t>이 성취기준은 글에 담긴 선인들의 지혜를 본보기 삼아 인성을 함양하기 위해 설정하였다. ‘미래 사회에 필요한 인성’은 타인⋅공동체⋅자연과 더불어 살아가는 데 필요한 인간다운 성품을 말한다.</t>
  </si>
  <si>
    <t>[9한02-06]</t>
  </si>
  <si>
    <t>글에 담긴 전통문화의 의미와 가치를 알고 소중하게 여기는 태도를 기른다.</t>
  </si>
  <si>
    <t>[12한문01-01]</t>
  </si>
  <si>
    <t>[12한문01-02]</t>
  </si>
  <si>
    <t>[12한문01-03]</t>
  </si>
  <si>
    <t>[12한문01-04]</t>
  </si>
  <si>
    <t>실사와 허사를 구별한다.</t>
  </si>
  <si>
    <t>이 성취기준은 기본 품사를 이해하여 실사와 허사의 차이를 구별하고 단어, 성어, 문장의 풀이에 활용하는 능력을 기르기 위해 설정하였다. 품사에는 단독으로 어휘적 의미를 가진 ‘실사’와 문법적 의미만을 나타내는 ‘허사’가 있다. 실사에 속하는 품사로는 명사, 대명사, 수사, 동사, 형용사, 부사가 있으며, 허사에 속하는 품사로는 개사, 접속사, 어조사, 감탄사가 있다. 개사(介詞)는 일반적으로 명사나 대명사 등 명사류(名詞類) 앞에 놓여 그 명사류를 서술어와 연결해주면서 처소, 대상, 도구, 시간, 원인, 비교 등의 뜻을 나타내는 단어이다. 접속사(接續詞)는 단어와 단어, 어구(語句)와 어구, 문장과 문장 등을 서로 이어주는 역할을 하는 단어이고, 어조사(語助詞)는 단어나 어구 또는 문장의 앞, 가운데나 뒤에 와서 문법적인 의미나 어기(語氣) 등을 나타내는 단어이다. 감탄사(感歎詞)는 문장의 밖에 독립적으로 놓여 화자(話者)의 부름, 느낌, 놀람이나 응답을 나타내는 단어이다. 다만 허사의 경우, 같은 품사에 속하는 허사들 간에도 문법적 기능과 의미 차이가 있으므로 각 허사의 특성을 명확히 이해하여 정확하게 문장을 독해할 수 있도록 하는 것이 중요하다. 단어는 문장 속에서 쓰임에 따라 품사가 바뀌고 의미가 달라지기도 한다. 명사는 동사처럼 쓰여 문장에서 그 자체로 서술어가 되기도 하고, 동사 앞에서 부사처럼 쓰이기도 하며, 동사는 명사처럼 쓰이기도 한다. 형용사는 그 뒤에 명사나 대명사 등이 올 때 ‘∼라고 여기다’는 뜻을 갖기도 하며 명사적으로 쓰이기도 한다.</t>
  </si>
  <si>
    <t>[12한문01-05]</t>
  </si>
  <si>
    <t>[12한문01-06]</t>
  </si>
  <si>
    <t>[12한문01-07]</t>
  </si>
  <si>
    <t>성어의 뜻과 유래를 이해하여 삶의 다양한 태도와 가치를 탐색한다.</t>
  </si>
  <si>
    <t>이 성취기준은 성어의 뜻과 유래를 이해하여 삶의 다양한 태도와 가치를 수용할 수 있도록 설정하였다. 성어는 대체로 2〜4자로 이루어진 관용구이다. 옛이야기에서 유래된 고사성어(故事成語)의 경우, 성어가 이루어진 배경이나 속뜻을 학습하면서 등장인물들의 삶의 방식과 태도를 살펴볼 수 있다. 이를 통해 학습자는 삶의 다양한 문제 상황에 대해 생각하며, 자신의 태도와 가치를 성찰할 뿐 아니라 타인의 가치를 존중하는 마음을 가질 수 있다.</t>
  </si>
  <si>
    <t>[12한문01-08]</t>
  </si>
  <si>
    <t>[12한문02-01]</t>
  </si>
  <si>
    <t>문장의 구조와 유형을 구별한다.</t>
  </si>
  <si>
    <t>이 성취기준은 문장의 구조와 유형을 이해하여 한문 독해 능력을 기르기 위해 설정하였다. 문장의 구조에는 주술 구조, 주술목 구조, 주술보 구조, 주술목보 구조가 있다. 문장의 구조를 파악할 때는 먼저 어순을 보고, 그다음에 성분들 사이의 관계를 보는데, 어순이 바뀌면 비문(非文)이 되거나 문장의 성분이 바뀔 수 있기 때문이다. 다만, 특정한 환경에서 어순이 도치되어도 문장의 성분이 바뀌지 않는 경우도 있는데, 술목 구조의 기본 어순은 서술어가 앞에 오고 목적어가 뒤에 오지만, 특정한 조건에서 목적어가 서술어 앞에 오기도 한다. 예를 들어, 의문의 뜻을 나타내는 구문(構文)에서 의문 대명사가 목적어로 쓰일 때, 또는 부정의 뜻을 나타내는 구문에서 지시 대명사나 인칭 대명사가 목적어로 쓰일 때는 목적어가 서술어 앞에 온다. 문장의 유형은 화자(話者)가 나타내는 어기(語氣)에 대한 판단으로, 평서문, 의문문, 명령문, 감탄문 등으로 분류할 수 있다.</t>
  </si>
  <si>
    <t>[12한문02-02]</t>
  </si>
  <si>
    <t>[12한문02-03]</t>
  </si>
  <si>
    <t>글을 풀이하고 내용과 주제를 설명한다.</t>
  </si>
  <si>
    <t>이 성취기준은 글을 바르게 풀이하고 내용과 주제를 설명할 수 있는 능력을 기르기 위해 설정하였다. 글의 내용과 주제를 바르게 이해하기 위해서는 문장에 사용된 단어나 구절의 구체적인 의미, 글의 구조와 분위기 등 글의 내용을 그 주제와 관련지어 파악해야 한다. 단순히 정보를 전달하는 내용만을 담고 있는 글의 경우에는 겉으로 드러난 명시적인 내용이 바로 그 주제가 된다고 할 수 있다. 그러나 한문 문장은 의미심장한 교훈이나 철리(哲理)를 담고 있는 경우가 대부분이므로, 글 속에 담긴 의미를 새겨보는 과정이 필요하다.</t>
  </si>
  <si>
    <t>[12한문02-04]</t>
  </si>
  <si>
    <t>한시의 특징을 통해 한시의 내용을 이해하고 감상한다.</t>
  </si>
  <si>
    <t>이 성취기준은 한시의 특징에 대한 이해를 바탕으로 한시의 내용을 이해하고 감상할 수 있는 능력을 기르기 위해 설정하였다. 한시의 특징이란 한시의 시체(詩體), 압운, 대우(對偶), 시상 전개 방식 등을 의미한다. 이러한 한시의 형식적 특징을 이해하면 함축과 상징의 시어로 구성된 한시를 다면적으로 이해하는 데 도움을 얻을 수 있다. 한시를 감상할 때는 한시의 표면적 뜻뿐만 아니라 시어 속에 숨겨진 의미, 창작 배경, 문학적 영향 관계, 심미적 요소 등을 종합적으로 살펴보아야 시를 감상하고, 다양한 방법으로 느낌을 표현할 수 있다.</t>
  </si>
  <si>
    <t>[12한문02-05]</t>
  </si>
  <si>
    <t>[12한문02-06]</t>
  </si>
  <si>
    <t>글에 담긴 전통문화의 가치를 알고 계승⋅발전시키려는 태도를 기른다.</t>
  </si>
  <si>
    <t>[12한고01-01]</t>
  </si>
  <si>
    <t>한자의 음과 뜻을 알아 글을 읽고 풀이한다.</t>
  </si>
  <si>
    <t>[12한고01-02]</t>
  </si>
  <si>
    <t>허사의 쓰임과 문장의 구조에 유의하여 문장을 풀이한다.</t>
  </si>
  <si>
    <t>[12한고01-03]</t>
  </si>
  <si>
    <t>글의 배경에 대한 이해를 바탕으로 내용과 주제를 파악한다.</t>
  </si>
  <si>
    <t>이 성취기준은 창작 배경, 작가, 유관 저술, 등장인물, 후세에 끼친 영향 등 한문 고전을 이해하는 데 도움이 되는 배경지식을 적절히 활용하여 글의 내용을 올바로 이해하고 주제를 파악하는 능력을 기르기 위해 설정하였다. 한문 고전은 동아시아 한자 문화권에서 생산된 글 중에서 시공(時空)을 이월(移越)한 가치를 지닌 저술을 이르는 말로, 단순히 ‘옛날에 지어진 좋은 작품’이 아닌 지금 우리의 삶에도 영향을 끼치는 ‘고전적 전통’을 담고 있다. 이러한 고전적 전통은 때로 글의 풀이만으로는 온전히 드러나지 않는 경우가 많으므로, 그에 영향을 끼친 다양한 배경지식을 살펴 글의 내용과 주제를 명료하게 파악할 수 있도록 한다.</t>
  </si>
  <si>
    <t>[12한고01-04]</t>
  </si>
  <si>
    <t>글에 담긴 심미적 요소를 찾아 감상한다.</t>
  </si>
  <si>
    <t>이 성취기준은 한문 고전에 담긴 심미적 요소를 찾아내고 이를 바탕으로 감상할 수 있는 능력을 기르기 위해 설정하였다. 한문 고전의 심미성은 내용은 물론 언어⋅문자적 특성에서도 발현된다. 즉, 한문은 어형의 변화가 없으므로 개개의 한자가 지닌 다양한 뜻 가운데 문맥에 맞는 의미를 유추해야 한다. 또한 문학성이 짙은 글뿐만 아니라 공용적, 실용적 목적에 따라 지어진 글도 간결성과 함축성을 추구하며, 대우, 전고, 운율 등을 적용한 경우도 많다. 이와 같은 심미적 요소는 작품의 주제를 형상화하는 데 중요한 역할을 할 뿐만 아니라, 구조적인 아름다움을 이루고 정서적인 감성을 배가시키며, 독자들로 하여금 고도의 지적 유열감(愉悅感)을 맛볼 수 있도록 한다. 이러한 심미적 요소를 찾아 감상할 때는 표현과 내용, 기타 요인 등을 종합적으로 살피도록 하며, 형식적인 측면에 치우치지 않도록 유의한다.</t>
  </si>
  <si>
    <t>[12한고01-05]</t>
  </si>
  <si>
    <t>다양한 학습 자료를 활용하여 글에 대한 이해를 심화한다.</t>
  </si>
  <si>
    <t>이 성취기준은 다양한 학습 자료를 활용하여 글에 대한 이해를 심화하거나 확장하는 능력을 기르기 위해 설정하였다. 최근에는 정보통신기술이 발달함에 따라 디지털화된 자료가 많아지고 있는 만큼 디지털 자료나 매체를 적극적으로 활용하도록 한다. 디지털 자료나 매체의 특성에 대한 올바른 이해를 바탕으로 텍스트의 의미를 비판적으로 수용하는 능력을 갖추도록 한다. 이를 위해서는 공공적 성격을 띤 기관에서 구축⋅운영하는 다양한 형태의 데이터베이스나 방대한 정보를 담고 있는 웹사이트 등을 이용하여 원문 및 유관 자료를 검색하고 목적에 맞는 형태로 조합하거나 새로운 정보를 창출할 수 있도록 한다. 또한 글의 내용이나 주제를 파악하고 감상하는 수준에 머무르지 않고 학습 내용 이해의 폭을 넓히고 심화할 수 있도록 한다.</t>
  </si>
  <si>
    <t>[12한고01-06]</t>
  </si>
  <si>
    <t>글과 관련한 탐구 활동을 통해 진로를 탐색한다.</t>
  </si>
  <si>
    <t>이 성취기준은 한문 고전 학습을 통해 얻은 지식과 흥미를 진로 탐색에 활용하는 능력을 기르기 위해 설정하였다. 한문 고전은 이른바 문(文)⋅사(史)⋅철(哲), 즉 문학⋅역사⋅철학이 주종을 이루고 있지만 풍토, 지리, 수리, 과학, 문화 등에 관한 내용도 풍부하다. 이러한 자료들은 학습자가 자신의 진로를 탐색하는 데 좋은 참고자료가 되므로, 이를 적극적으로 활용할 수 있도록 한다.</t>
  </si>
  <si>
    <t>[12한고01-07]</t>
  </si>
  <si>
    <t>글을 읽고 자신의 삶에 대입하여 반성적으로 사고한다.</t>
  </si>
  <si>
    <t>이 성취기준은 동아시아의 전통적 인성과 인간관을 이해하고 자신의 삶에 대입하여 반성적으로 사고하는 능력을 기르기 위해 설정하였다. 한문 고전은 인성의 본질에 대한 깊이 있는 이해와 더불어 도덕적으로 완전한 사람이 될 것을 강조하며, 가치 있는 사람으로 살아가기 위해 갖추어야 할 덕목과 역할을 제시하고 있다. 이와 같은 자료를 폭넓게 읽어 동아시아의 전통적 인성과 인간관을 현재적 관점에서 이해하는 한편 자신의 삶에 비추어 반성적으로 사유하는 힘을 기르도록 한다.</t>
  </si>
  <si>
    <t>[12한고01-08]</t>
  </si>
  <si>
    <t>다양한 삶의 양태를 존중하고 더불어 사는 포용적 태도를 갖춘다.</t>
  </si>
  <si>
    <t>이 성취기준은 다양한 문화적 배경에서 성장한 인물들의 삶이나 일화를 기록한 글을 읽고, 나와 다른 삶을 살아가는 사람들을 이해하고 존중하는 포용성을 키워 이웃과 더불어 사는 삶을 실천하고자 하는 태도를 갖추도록 하기 위해 설정하였다. 옛사람들은 다양한 유형의 인물군상을 통해 시대를 기록하는 한편, 세상과 타협하기를 거부하고 주체적으로 자신의 길을 개척해간 사람들을 기억하고자 하였다. 이와 같은 자료를 통해 세상을 바라보는 시각을 넓히고 타인을 존중하고 배려하며 소통하고 협동하는 등 공공선(公共善)을 적극적으로 추구해 나가도록 한다.</t>
  </si>
  <si>
    <t>[12한고01-09]</t>
  </si>
  <si>
    <t>자연과 생태의 가치를 알고 상생하고자 하는 태도를 지닌다.</t>
  </si>
  <si>
    <t>이 성취기준은 자연과 생태의 중요성을 깨닫고 가꾸어가기 위해 노력하는 태도를 갖추도록 하기 위해 설정하였다. 농경 사회였던 동아시아는 자연과의 공존을 중시하였으며, 그 속에서 글의 소재와 주제를 찾았다. 운문(韻文)에서는 자연에 철학적 의미를 담은 산수시(山水詩), 자연시(自然詩)가 하나의 장르로 자리 잡았고, 산문(散文)에서도 전원생활의 즐거움을 찬양하거나 희구하는 글들이 꾸준히 창작되었다. 이러한 글들은 환경 파괴와 물질 만능주의 등의 문제를 해결하기 위해 등장한 생태주의와 상통하는 부분이 많다. 이와 같은 글을 읽고 자연과 생태의 가치를 이해하여 건강한 생태계를 가꾸어 나갈 수 있도록 한다. 자연과 생태의 가치를 알고 이를 보전해 나가려는 태도를 기르는 일은 현재는 물론 미래 사회에 유의미한 활동이며 지속가능한 삶을 위한 것임을 알도록 한다.</t>
  </si>
  <si>
    <t>[12언한01-01]</t>
  </si>
  <si>
    <t>한자의 음과 뜻을 파악한다.</t>
  </si>
  <si>
    <t>[12언한01-02]</t>
  </si>
  <si>
    <t>어휘를 표준 발음법에 맞게 읽는다.</t>
  </si>
  <si>
    <t>이 성취기준은 한자 어휘의 정확한 독음을 알 수 있도록 설정한 것이다. 우리말 표준 발음법을 적용하되, 사용 빈도가 높은 발음법(예, 두음 법칙⋅음운 탈락⋅자음 동화)을 중심으로 학습이 이루어지도록 한다.</t>
  </si>
  <si>
    <t>[12언한01-03]</t>
  </si>
  <si>
    <t>어휘의 의미와 어원을 설명한다.</t>
  </si>
  <si>
    <t>이 성취기준은 한자 어휘의 어원 확인을 통해 어휘의 정확한 의미와 발전 과정을 알 수 있도록 설정한 것이다. 직관에 의한 억측을 배제하고 어원의 근거가 분명한 어휘를 중심으로 학습이 이루어지도록 한다.</t>
  </si>
  <si>
    <t>[12언한01-04]</t>
  </si>
  <si>
    <t>성어의 의미와 유래를 파악하여 삶의 가치를 이해한다.</t>
  </si>
  <si>
    <t>이 성취기준은 성어의 정확한 의미와 발전 과정을 알 수 있도록 설정한 것이다. 또 특정 이야기와 관련 있는 고사성어는 유래까지 파악함으로써 삶의 가치를 이해하도록 설정한 것이다. 학생들의 수준과 환경 및 정서에 맞는 성어를 중심으로 학습이 이루어지도록 한다.</t>
  </si>
  <si>
    <t>[12언한01-05]</t>
  </si>
  <si>
    <t>한자 어휘의 어휘 관계를 파악하여 효율적 언어생활과 문해에 활용한다.</t>
  </si>
  <si>
    <t>이 성취기준은 유의어와 반의어, 상⋅하위어 및 동음이의어를 파악하여 효율적인 언어생활과 정확한 문해에 활용할 수 있도록 설정한 것이다. 어휘 관계가 분명한 한자 어휘를 중심으로 학습이 이루어지도록 한다.</t>
  </si>
  <si>
    <t>[12언한01-06]</t>
  </si>
  <si>
    <t>사회⋅문화 현상에 대응하여 생성된 한자 어휘를 파악하고 조어 특성을 이해한다.</t>
  </si>
  <si>
    <t>이 성취기준은 한자 특유의 조어력을 바탕으로 사회⋅문화적 현상에 대응하여 만들어진 한자 줄임말과 혼종어를 조사⋅활용할 수 있도록 설정한 것이다. 한자 줄임말은 주로 각 어휘의 첫음절을 떼어서 만든 형태로 나타난다. 그리고 혼종어는 한자어와 고유어, 외래어가 다양한 형태로 결합한다는 것에 대한 학습이 이루어지도록 한다.</t>
  </si>
  <si>
    <t>[12언한01-07]</t>
  </si>
  <si>
    <t>학습을 위한 어휘의 개념적 특성을 파악하여 교과 학습에 활용한다.</t>
  </si>
  <si>
    <t>이 성취기준은 전문 어휘에 포함되는 학습을 위한 어휘의 개념적 특성을 파악하여 교과 학습에 효율적으로 활용하도록 설정한 것이다. 특히 학습을 위한 어휘는 외국 학문의 유입 과정에서 외래어를 한자 어휘로 번역한 것이 많다는 점에 착안하여 다른 나라와의 교류가 한자 어휘로 반영되는 양상에 대한 학습도 이루어지도록 한다. 지나치게 추상적이고 설명이 복잡한 개념보다는 학생들에게 활용도가 높고 이해하기 쉬운 용어를 중심으로 학습이 이루어지도록 한다.</t>
  </si>
  <si>
    <t>[12언한01-08]</t>
  </si>
  <si>
    <t>품격 있는 어휘 활용으로 바른 인성을 함양하려는 태도를 지닌다.</t>
  </si>
  <si>
    <t>이 성취기준은 일상생활에서 품격 있는 한자 어휘의 활용을 통하여 바른 인성을 함양하려는 태도를 지닐 수 있도록 설정한 것이다. 이를 위해 한자 어휘로 된 경어를 상황에 맞게 활용할 수 있도록 한다. 아울러 기존 어휘가 갖는 부정적 어감 때문에 새로운 말로 대체한 어휘나 금기어를 우회적으로 표현한 완곡어가 말을 우아하게 하려는 노력의 일환으로 나타나는 어휘적 양상이라는 점에 대한 학습도 이루어지도록 한다. 한자 어휘의 남용보다는 상황에 맞는 한자 어휘의 적절한 활용을 중심으로 학습이 이루어지도록 한다.</t>
  </si>
  <si>
    <t>[12언한01-09]</t>
  </si>
  <si>
    <t>맥락에 맞는 어휘 활용으로 공동체에서 협력적 소통을 실천한다.</t>
  </si>
  <si>
    <t>[12언한01-10]</t>
  </si>
  <si>
    <t>한자 문화권의 어휘 비교를 통해 문화적 다양성을 이해하려는 태도를 지닌다.</t>
  </si>
  <si>
    <t>[12진로01-01]</t>
  </si>
  <si>
    <t>관심 분야 직업인의 삶과 진로 특성을 탐구함으로써 관심 직업 및 전공 분야에서 요구되는 진로 특성을 이해한다.</t>
  </si>
  <si>
    <t>[12진로01-02]</t>
  </si>
  <si>
    <t>나의 진로 특성을 통합적으로 이해하고, 관심 직업과 전공 분야에서 요구되는 특성 및 수행과 관련지어 나의 진로 특성을 점검하고 강점은 강화하고 부족한 점은 보완한다.</t>
  </si>
  <si>
    <t>[12진로01-03]</t>
  </si>
  <si>
    <t>직업 윤리의 중요성을 이해하고 건강하고 안전한 일터를 만드는 직업인의 사회적 책임을 인식한다.</t>
  </si>
  <si>
    <t>[12진로01-04]</t>
  </si>
  <si>
    <t>일, 학습, 여가의 가치와 상호 관계를 이해하고 자신의 직업 가치를 성찰한다.</t>
  </si>
  <si>
    <t>[12진로02-01]</t>
  </si>
  <si>
    <t>미래 직업 세계를 탐색하고, 관심 분야의 직업 세계 변화를 예측 및 탐색한다.</t>
  </si>
  <si>
    <t>사회 환경 변화에 따라 직업 세계도 변화한다. 미래 직업 세계를 탐색하고 산업 및 기술 변화가 자신의 관심 분야 직업 세계에 가져올 변화를 예측하여 미래 지향적 진로를 설계할 수 있도록 한다.</t>
  </si>
  <si>
    <t>[12진로02-02]</t>
  </si>
  <si>
    <t>관심 직업의 진로 경로에 따라 요구되는 역량을 탐구한다.</t>
  </si>
  <si>
    <t>관심 직업의 직업인들의 진로 선택 과정, 전문성 개발 방법, 직업 생활 등의 사례를 통해 진로 경로가 진학 또는 취업을 넘어 연속성 있는 과정이며 다양할 수 있음을 인지한다. 관심 직업의 진로 경로에 따라 요구되는 역량을 탐구하며 관심 직업 및 전공 분야에 요구되는 역량을 함양할 수 있도록 한다.</t>
  </si>
  <si>
    <t>[12진로02-03]</t>
  </si>
  <si>
    <t>관심 직업의 구체적인 정보를 수집하고 나에게 필요한 내용을 선별하여 활용한다.</t>
  </si>
  <si>
    <t>[12진로02-04]</t>
  </si>
  <si>
    <t>관심 직업과 관련된 진학 또는 취업 정보를 탐색한다.</t>
  </si>
  <si>
    <t>[12진로02-05]</t>
  </si>
  <si>
    <t>지속 가능한 진로 개발을 위해 다양한 진로 경로를 탐색하고 평생 학습의 중요성을 이해한다.</t>
  </si>
  <si>
    <t>자신의 진로 목표를 달성하기 위해서는 평생에 걸쳐서 학습이 필요하다는 점을 이해하고 시기별 진로 목표 달성을 통해 성장하는 자신의 모습을 설명할 수 있도록 한다. 평생 교육 계획에는 취업, 대학 진학뿐만 아니라 필요시 대학원 진학, 관련 분야의 자격 혹은 면허 취득, 그리고 취업 후의 경력 개발, 평생 학습 등의 내용이 포함될 수 있다는 점을 이해하도록 구체적으로 안내한다.</t>
  </si>
  <si>
    <t>[12진로02-06]</t>
  </si>
  <si>
    <t>창업가 정신을 적용하여 관심 분야의 문제 해결을 시도하고 새로운 가치를 발견한다.</t>
  </si>
  <si>
    <t>창업은 자신과 공동체 속에서 문제를 인식하고 해결하는 과정으로 새로운 가치를 창출한다. 이것은 창업뿐만 아니라 직업인의 업무 수행에서 도움이 되는 역량으로, 자신의 관심 분야의 문제를 발견하고 해결하는 과정 속에서 의사소통 역량을 함양하고 협업하는 태도, 창의적 사고와 도전 정신, 실패 경험의 가치를 학습할 수 있도록 한다.</t>
  </si>
  <si>
    <t>[12진로02-07]</t>
  </si>
  <si>
    <t>고용 관계의 권리와 책임을 이해하고, 상호 존중의 자세를 지닌다.</t>
  </si>
  <si>
    <t>고용주와 근로자 모두 직업인으로서 각자의 책임과 권리가 있음을 이해하여 고용 관계에 대한 균형 잡힌 인식과 상호 존중의 자세를 함양한다. 최근 신기술 도입에 따른 고용의 개념과 방식이 변화되고 있음을 고려하여 미래 지향적인 관점에서 고용 관계와 이에 따라 요구될 수 있는 상호 존중의 방식에 대해 고찰함으로써 건강한 노동 가치에 대해 학습한다.</t>
  </si>
  <si>
    <t>[12진로03-01]</t>
  </si>
  <si>
    <t>진로의사결정의 요인과 변화 가능성을 고려하여 의사 결정을 재평가함으로써 보완하고 지속적으로 점검한다.</t>
  </si>
  <si>
    <t>진로의사결정에는 신체 조건, 학업 역량, 재능, 직업에 대한 선입견 등의 개인적 요인과 주변의 지나친 기대, 부모님과의 의견 차이, 경제적 여건, 국내외의 사회적 상황, 직업의 사회적 편견 등의 환경적 요인이 복합적으로 영향을 미친다는 점을 이해한다. 이에 따라 진로의사결정은 여러 요인과 상황에 따라 다회적으로 이루어질 수 있음을 아는 것이 중요하며, 이전 진로의사결정의 경험을 통해 보다 나은 대안을 탐색함으로써 성숙한 진로의사결정을 점진적으로 수행하도록 한다.</t>
  </si>
  <si>
    <t>[12진로03-02]</t>
  </si>
  <si>
    <t>잠정적인 진로 목표를 설정하고 고등학교 졸업 이후의 장단기 진로 계획을 설계한다.</t>
  </si>
  <si>
    <t>고등학교 졸업 후 진학과 취업에 따른 전공 선택, 직장 선택 등의 단기적인 진로 목표에서부터 인생 전반의 장기적인 진로 목표까지를 좀 더 구체적으로 정련하고 이를 달성하기 위한 실천적인 진로 계획도 수립해 본다.</t>
  </si>
  <si>
    <t>[12진로03-03]</t>
  </si>
  <si>
    <t>나의 진로 목표에 따라 진학 또는 취업에 필요한 학업 계획을 세우고 실천한다.</t>
  </si>
  <si>
    <t>[12진로03-04]</t>
  </si>
  <si>
    <t>진로 계획의 실천을 위해 자기 관리를 하며, 환경적 변화에 대응하여 유연하게 진로를 준비한다.</t>
  </si>
  <si>
    <t>수립된 진로 계획을 실천하는 과정에서 요구될 수 있는 신체적⋅정서적 관리, 시간 관리, 학업 관리 등의 생활 습관을 스스로 조율하도록 하며, 의미 있는 타자의 도움을 통해서도 관리가 가능하다는 점을 인식하도록 한다. 학생 개인의 내적⋅외적인 환경 변화에 대응하여 유연하면서도 건강한 태도로 진로를 준비한다.</t>
  </si>
  <si>
    <t>[12생환01-01]</t>
  </si>
  <si>
    <t>환경의 다양한 의미를 탐구하고, 역사적 사례 속에서 발견되는 인간의 삶과 환경 변화 사이의 상호 작용을 통해 환경과 인간 사이의 복합적인 관계를 해석한다.</t>
  </si>
  <si>
    <t>[12생환01-02]</t>
  </si>
  <si>
    <t>다양한 환경관을 비교⋅분석하고, 윤리적 고려 범위가 인간에서 동물, 생명, 생태계로 확장되는 과정을 사회 변화 및 환경 변화와 연결지어 설명한다.</t>
  </si>
  <si>
    <t>다양한 환경관의 비교⋅분석은 인간중심주의, 동물중심주의, 생명중심주의, 생태중심주의 등을 중심으로 이들의 특징과 한계점을 이해하도록 하며, 윤리적 고려 대상의 범위가 인간에서 동물, 생명, 생태계로 확장되는 의미를 탐구하여 설명하도록 한다.</t>
  </si>
  <si>
    <t>[12생환01-03]</t>
  </si>
  <si>
    <t>환경에 관한 윤리적 갈등 상황을 분석하여 현상을 바라보는 다양한 관점을 인식하고, 타인의 의견을 경청하며, 갈등 해결을 위한 책임감을 갖고 자신의 의견을 제시한다.</t>
  </si>
  <si>
    <t>동물 복지, 멸종 위기종 복원, 대규모 발전 및 송전 사업 등 환경 윤리에 관한 갈등이나 쟁점 상황을 일상생활 속에서 찾아 분석하고 자신의 의견을 제시하도록 한다.</t>
  </si>
  <si>
    <t>[12생환01-04]</t>
  </si>
  <si>
    <t>자신이 살고 있는 지역에 관심을 갖고, 더 나은 지역 환경을 위해 책임 있는 시민으로서 자신이 참여할 수 있는 방식을 제안한다.</t>
  </si>
  <si>
    <t>자신의 삶의 터전인 지역에 관심을 갖고, 지역의 자연⋅역사⋅문화⋅경제적 특성을 찾아 자신의 삶에 반영된 지역 환경의 의미를 탐색하여 환경 문제 해결과 환경 갈등 해소 방안을 모색하는 책임 있는 시민의 역할을 경험하도록 한다.</t>
  </si>
  <si>
    <t>[12생환02-01]</t>
  </si>
  <si>
    <t>환경 체계는 지구 생태계와 사회 체계로 구성된 복잡한 시스템임을 이해하고, 이들의 상호 작용을 파악하기 위해 시스템사고가 필요함을 인식한다.</t>
  </si>
  <si>
    <t>환경 체계는 물, 대기, 토양, 생물로 구성된 지구 생태계와 정치⋅경제⋅문화⋅법과 제도 등 사회 체계로 구성된 복잡한 시스템임을 이해하고, 지구 생태계와 사회 체계가 분리되지 않고 상호 작용하며 끊임없이 변화하는 시스템임을 발견하도록 한다. 이를 위해 시스템사고를 활용하여 환경 체계를 통합적으로 접근하고, 부분과 전체를 함께 다룰 수 있는 인식과 태도를 가지게 한다.</t>
  </si>
  <si>
    <t>[12생환02-02]</t>
  </si>
  <si>
    <t>물과 대기의 순환적 특성 및 과학적 원리를 탐구하고, 인간 활동이 물과 대기의 순환에 미치는 영향을 파악한다.</t>
  </si>
  <si>
    <t>[12생환02-03]</t>
  </si>
  <si>
    <t>토양의 특성과 토양, 물, 대기, 생물의 상호 작용, 인간의 이용에 따른 시공간적 변화를 이해하고, 생태계와 인간 사회의 상호 작용 결과를 추론한다.</t>
  </si>
  <si>
    <t>토양의 역할과 중요성을 토양 생물이나 농업과 연계하여 자연과학과 사회과학 측면에서 이해하고, 농약, 경운, 산업의 변화 등 인간의 이용으로 인한 토양의 시간적⋅공간적 변화가 생태계와 인간 사회에 미치는 영향 및 변화 양상을 추론하여 제시하도록 한다.</t>
  </si>
  <si>
    <t>[12생환02-04]</t>
  </si>
  <si>
    <t>생태계의 부분과 전체가 서로 복잡하게 얽혀져 있음을 여러 규모의 사례를 통해 조사하고, 생물⋅문화 다양성의 환경적⋅사회적⋅경제적 가치를 발견한다.</t>
  </si>
  <si>
    <t>생태계 구성 요소 간의 상호 작용을 이해하고, 부분과 전체가 서로 복잡하게 얽혀 있어 한 요소의 개입 또는 소실이 전체 시스템에 미치는 영향이 크다는 점을 생물다양성 감소 등 지구 및 지역 규모 사례를 통해 이해하도록 한다. 나아가 생물다양성의 환경⋅사회⋅경제적 가치를 발견하고, 문화 다양성과의 관계를 이해할 수 있도록 한다.</t>
  </si>
  <si>
    <t>[12생환03-01]</t>
  </si>
  <si>
    <t>물, 대기 등과 관련된 국내외 환경 문제와 쟁점을 상호 관련성 및 광역성 등과 관련지어 심층 탐구하고, 환경 문제와 쟁점이 환경 체계와 맺는 연결성을 파악한다.</t>
  </si>
  <si>
    <t>물, 대기 등과 관련된 환경 문제와 쟁점의 환경과학적 측면을 이해하고, 물, 대기 관련 환경 문제와 쟁점이 지구 생태계의 여러 구성 요소와 상호 작용하며(상호 관련성), 이로 인한 환경 변화는 어느 한 지역, 한 국가에서만 나타나는 것이 아니라 공간적, 시간적으로 광범위하게 나타난다(광역성)는 점을 이해할 수 있도록 한다. 이와 관련된 환경 문제 예시로는 부영양화, 하수 처리, 물 부족 문제, 해양 오염, 미세 먼지, 황사, 오존 오염, 산성비, 스모그, 실내 공기 오염, 라돈 오염 등을 고려할 수 있다.</t>
  </si>
  <si>
    <t>[12생환03-02]</t>
  </si>
  <si>
    <t>토양 및 생물 등과 관련된 국내외 환경 문제와 쟁점을 탄력성, 비가역성 및 다양성 등과 관련지어 심층 탐구하고, 환경 문제와 쟁점의 주된 원인과 영향을 분석하여 시사점과 해결 방안을 도출한다.</t>
  </si>
  <si>
    <t>토양 및 생물 등과 관련된 환경 문제와 쟁점의 환경과학적 측면을 이해하고, 토양 및 생물 관련 환경 문제와 쟁점이 자연정화 능력(탄력성)이나 이의 범위를 벗어나 되돌릴 수 없게 된 상태(비가역성)가 초래하는 문제점을 심층적으로 탐구한다. 이와 관련된 문제의 예시로 토양 오염, 토양 산성화, 토양 유실, 생물다양성 문제 등을 고려할 수 있다.</t>
  </si>
  <si>
    <t>[12생환03-03]</t>
  </si>
  <si>
    <t>자원과 에너지, 폐기물 등과 관련된 국내외 환경 문제와 쟁점을 시차성 및 유한성 등과 관련지어 데이터를 기반으로 심층 탐구하고, 개인 및 사회 차원의 합리적 의사 결정에 적용한다.</t>
  </si>
  <si>
    <t>자원 및 에너지, 폐기물 등과 관련된 환경 문제와 쟁점의 발생, 영향, 해결 과정에서 상당한 시차가 생길 수 있음을 알고(시차성), 사전 예방의 원칙을 사례를 통해 심층적으로 탐구하도록 한다. 화석 연료 기반의 자원 및 에너지 사용에 한계가 있음(유한성)을 이해하고, 데이터 조사와 분석 등을 통해 에너지원과 시스템의 전환 방안을 심층적으로 탐구하며 개인과 사회 차원에서 합리적으로 의사 결정을 할 수 있는 대안을 제시하도록 한다.</t>
  </si>
  <si>
    <t>[12생환03-04]</t>
  </si>
  <si>
    <t>정치, 경제, 문화, 법과 제도 등과 관련된 환경 쟁점을 사회 구조와 산업 구조의 측면에서 심층 탐구하고, 환경 문제와 쟁점에 대한 인간의 책무성을 인식한다.</t>
  </si>
  <si>
    <t>사회 체계는 사회 구조, 산업 구조 등을 통해 이해할 수 있도록 하며, 산업화와 소비사회, 정보화와 지식사회, 다원화, 자본주의, 위험 사회 등 사회 체계의 특성과 관련된 환경 문제와 쟁점을 통해 원인 제공자이자 해결의 주체로서 인간의 역할을 탐색하고 사회 체계를 개선하는 데 있어 인간의 책무성을 인식하도록 한다.</t>
  </si>
  <si>
    <t>[12생환03-05]</t>
  </si>
  <si>
    <t>지역 및 지구 차원의 환경 쟁점과 사례를 심층 탐구하고, 지속가능성과 형평성의 측면에서 해결 방안을 제안하며, 자신이 주체적으로 참여할 수 있는 활동을 찾아 참여한다.</t>
  </si>
  <si>
    <t>[12생환04-01]</t>
  </si>
  <si>
    <t>현재의 기후변화를 기후위기라고 하는 이유를 기후 시스템의 급변점 및 인류세 개념 등과 연결지어 탐구한다.</t>
  </si>
  <si>
    <t>현재의 기후변화 양상을 지구 시스템 내 물질 순환, 에너지 수지, 복사 강제력 및 시스템 복잡성과 연결지어 이해하도록 한다. 지구 기후 시스템의 급변점 등을 통해 기후변화가 초래한 위기적 상황이 다양한 모습으로 드러나고 있음을 인식하도록 한다.</t>
  </si>
  <si>
    <t>[12생환04-02]</t>
  </si>
  <si>
    <t>생물다양성 감소와 삶의 질 저하 등 기후변화로 인한 영향과 피해의 구체적인 사례를 탐구하여 기후변화 취약성, 기후정의와 연결지어 인식한다.</t>
  </si>
  <si>
    <t>기후변화와 생물다양성의 관계 및 기후변화가 물 이용, 식량 안보, 보건, 경제, 문화에 끼치는 영향을 구체적인 사례를 통해 살펴보고, 기후취약성과 기후정의 개념과 연결지어 사례를 이해하여 기후변화로 고통 받는 사람들과 자연의 상황에 공감할 수 있도록 한다.</t>
  </si>
  <si>
    <t>[12생환04-03]</t>
  </si>
  <si>
    <t>온실가스 배출 현황을 인간 활동의 사회적, 경제적, 정치적, 기술적 측면과 연결지어 탐구하여 기후변화의 원인을 다층적으로 인식한다.</t>
  </si>
  <si>
    <t>[12생환04-04]</t>
  </si>
  <si>
    <t>기후변화 미래 시나리오를 살펴보고 희망하는 미래를 위해 어떤 경로를 선택해야 할지 토의하며, 기후변화 대응을 위한 사회적, 경제적, 정치적, 기술적 제안과 사례를 탐구한다.</t>
  </si>
  <si>
    <t>미래 기후변화를 전망한 시나리오를 찾아보고, 미래 기후 시나리오의 경로에 따라 지구 생태계는 어떤 변화가 있을지 예측하며, 그 안에서 자신의 삶과 사회 모습을 상상해 보게 한다. 탄소 중립, 순환 경제, 에너지 전환 등의 개념을 이해하고, 여러 분야에서 제시된 기후 해법과 적용 사례를 탐구하여 지역과 학교의 기후행동 계획을 모색하는데 참고하도록 한다.</t>
  </si>
  <si>
    <t>[12생환04-05]</t>
  </si>
  <si>
    <t>기후변화 대응을 위해 우리나라와 자신의 지역에 적절한 방안과 과제가 무엇인지 도출하고, 학교와 지역을 위한 기후행동을 계획⋅이행하고 그 결과를 성찰한다.</t>
  </si>
  <si>
    <t>[12생환05-01]</t>
  </si>
  <si>
    <t>지속가능발전목표(SDGs)를 분석하고, 행복한 삶의 기준에 대한 토론을 통해 지속가능한 사회를 만드는 다양한 방안을 탐색한다.</t>
  </si>
  <si>
    <t>유엔의 지속가능발전목표(SDGs)와 우리나라의 지속가능발전목표(K-SDGs)를 비교⋅분석하고, 지속가능발전목표의 세부 목표들은 서로 연계되어 있으며, 삶의 질은 정치, 경제, 사회, 문화, 환경, 과학, 기술 등 다양한 측면이 통합되어 결정됨을 이해하도록 한다. 이를 토대로 동료와의 토론을 통해 행복한 삶의 기준에 대해 생각해 보고, 자신이 사는 지역이나 우리나라의 지속가능발전목표 달성을 위해 학습자 자신이 참여할 수 있는 활동 방안을 찾아보도록 한다.</t>
  </si>
  <si>
    <t>[12생환05-02]</t>
  </si>
  <si>
    <t>지구 공동체의 관점에서 생태시민의 역할과 책무에 대해 이해하고, 이를 통해 비인간 존재와 미래 세대에 대한 배려와 책임감을 기르며 자신의 삶에서 적용할 수 있는 방안을 찾아 실천한다.</t>
  </si>
  <si>
    <t>지구 공동체 구성원 중 하나로서 인간의 역할과 책무를 생태시민의 개념을 통해 이해하고, 생명과 자연 등 비인간 존재와 미래 세대에 대한 배려와 책임감이 필요함을 인식하도록 한다. 자신의 삶에서 생명과 자연 및 미래 세대에 대한 배려와 책임감을 실천할 수 있는 방안을 모색해 보고 실천할 수 있도록 한다.</t>
  </si>
  <si>
    <t>[12생환05-03]</t>
  </si>
  <si>
    <t>음식, 주거, 교통, 생산과 소비 등에서 지속가능한 삶의 양식을 조사하고, 환경 정의 측면에서 지역, 국가, 국제 수준의 연대와 협력 활동을 살펴보며, 지속가능한 미래를 위한 개인적⋅사회적 차원의 활동에 주체적으로 참여한다.</t>
  </si>
  <si>
    <t>[12인철01-01]</t>
  </si>
  <si>
    <t>철학하는 삶의 특징을 이해하고 근원적인 물음을 탐구⋅발견하여 주체적으로 성찰하는 태도를 갖춘다.</t>
  </si>
  <si>
    <t>[12인철01-02]</t>
  </si>
  <si>
    <t>철학적 사유의 특징과 철학하는 방법의 주요 요소를 분석하고 이를 생활 속 여러 문제에 적용한다.</t>
  </si>
  <si>
    <t>‘나는 누구인가?’, ‘삶의 의미는 무엇인가?’, ‘인간이란 무엇인가?’ 등과 같은 철학의 주제가 되는 가장 근원적인 물음을 일상의 여러 상황에서 부딪히는 구체적인 사례 속에서 깊이 있게 탐색하는 습관을 익힌다. 나아가, 비판적⋅창의적⋅배려적 사고 등 철학적 사유의 핵심이 되는 다차원적 사고 능력의 특징을 이해하고 이를 일상의 구체적인 문제 상황에 적용한다. 비판적 사고가 옳고 그름, 정당함과 부당함을 가리는 잣대임을 알아 부당한 권위에 흔들리지 않으며, 배려적 사고를 바탕으로 나와 다른 생각을 논증적으로 검토하며 새로운 해법을 여는 창의적 사고를 발휘하도록 한다.</t>
  </si>
  <si>
    <t>[12인철01-03]</t>
  </si>
  <si>
    <t>몸과 마음의 관계를 비교⋅분석하고 인간 본성을 비판적으로 검토하여 진정한 나로 살아가는 습관을 익힌다.</t>
  </si>
  <si>
    <t>[12인철01-04]</t>
  </si>
  <si>
    <t>인간의 한계 상황을 느끼고 깨달으며 삶의 여러 선택 상황에서 스스로 철학하기뿐 아니라, 함께 철학하기를 통하여 주체적이고 책임 있는 태도를 갖춘다.</t>
  </si>
  <si>
    <t>죽음과 고통의 한계 상황과 자유 등 인간 존재의 특징을 상호 이해와 공감⋅배려에 기반을 둔 철학적 탐구 공동체를 통해 탐색하며, 본질과 실존이라는 측면에서 결단의 중요성을 깨닫고 삶의 가치를 이해한다. 교실에서 진행되는 ‘함께 철학하기’를 통해 사회적 편견과 건전한 상식을 구분하는 능력을 키우며, 합리적이고 보편적이며 객관적인 기준을 중심으로 세상사를 바라보고 판단하도록 한다.</t>
  </si>
  <si>
    <t>[12인철02-01]</t>
  </si>
  <si>
    <t>개인과 공동체의 관계를 비판적으로 분석하여, 민주시민 사회의 구성원의 조건과 역할을 탐구한다.</t>
  </si>
  <si>
    <t>개인의 행복과 ‘좋은 삶’의 실현을 돕는 이상적 공동체의 모습을 검토하고 대중영합주의, 권위주의 등과의 대조를 통해 민주주의의 본질을 이해하며 이에 맞는 시민의 자세를 익히도록 한다.</t>
  </si>
  <si>
    <t>[12인철02-02]</t>
  </si>
  <si>
    <t>소유와 공유의 가치를 논증적으로 탐색하고 경제적인 측면에서 이상적 공동체가 갖추어야 할 철학적 조건을 탐색한다.</t>
  </si>
  <si>
    <t>[12인철02-03]</t>
  </si>
  <si>
    <t>정당한 권력과 정치의 사례를 탐색하며, 정의로운 공동체에 필요한 활동 요소들을 발견하고 실천한다.</t>
  </si>
  <si>
    <t>[12인철02-04]</t>
  </si>
  <si>
    <t>역사와 미래의 관계에 대한 핵심 물음들을 탐구하여, 역사 변혁에 필요한 주체 의식과 공동체 의식을 기른다.</t>
  </si>
  <si>
    <t>인간 자유의 확대, 평등의 실현 등 인류 역사의 목적과 발전 방향에 대한 다양한 주장을 이해하고, 이를 인류 문명의 개선⋅발전을 위한 물음 형태로 정리하며, 시대의 과제와 도전을 역사의 흐름 속에서 바라보고 평가하는 안목을 갖추도록 한다.</t>
  </si>
  <si>
    <t>[12인철03-01]</t>
  </si>
  <si>
    <t>지식의 조건을 이해하고 세계에 대한 여러 종류의 앎과 가치들을 논증적으로 비교⋅탐색한다.</t>
  </si>
  <si>
    <t>참된 지식을 가늠하는 여러 기준(대응설, 정합설, 실용설 등)을 이해하고, 사실에 대한 지식과 가치에 대한 판단의 차이를 구분하며, 객관적이고 합리적인 근거를 갖춘 주장을 찾아 수용하는 태도를 갖추도록 한다.</t>
  </si>
  <si>
    <t>[12인철03-02]</t>
  </si>
  <si>
    <t>인식 조건에 따른 여러 가지 세계를 구성하는 요소와 그 기원을 탐색하고, 다양한 세계관을 공감적인 태도로 바라보는 자세를 익힌다.</t>
  </si>
  <si>
    <t>세상을 바라보고 해석하는 여러 입장(과학적 세계관, 종교적 세계관, 미학적 세계관, 생태학적 세계관 등)이 있음을 알고, 각각의 장점과 한계를 사례를 중심으로 탐구⋅이해하여 나와 다르게 세상을 바라보는 시선들에 대해 포용적인 자세로 대하도록 한다.</t>
  </si>
  <si>
    <t>[12인철03-03]</t>
  </si>
  <si>
    <t>자연 생태계의 가치와 인간의 책임을 인식하고 구체적인 사례를 조사⋅탐구하여 상생과 공존의 생활 태도를 체득한다.</t>
  </si>
  <si>
    <t>[12인철03-04]</t>
  </si>
  <si>
    <t>디지털 생태계와 미래 생활 세계의 특성을 통찰하고 관련된 철학적 주제를 발견⋅탐구하여 환경 변화에 부응하는 가치관을 기른다.</t>
  </si>
  <si>
    <t>[12인철04-01]</t>
  </si>
  <si>
    <t>언어가 지닌 인간의 창조 능력의 성격과 특징을 이해하고, 이를 통해 구성하는 상상적⋅초월적 세계들과 그 가치들을 탐색한다.</t>
  </si>
  <si>
    <t>기호와 상징, 표현과 예술 수단 등 언어의 다양한 역할을 이해한다. 여러 분야의 사례를 통해 상상적⋅초월적 가치들을 비판적으로 성찰하고 탐색하는 태도를 갖추게 한다.</t>
  </si>
  <si>
    <t>[12인철04-02]</t>
  </si>
  <si>
    <t>미의 기준을 둘러싼 여러 입장을 이해하고 아름다움에 대한 생활 속 여러 사례를 비교⋅분석하여 미적 가치관을 정립한다.</t>
  </si>
  <si>
    <t>주관적인 느낌 수준을 넘어 아름다움을 판단하는 여러 기준과 주장들을 비교⋅분석하고 미적 대상을 성찰적으로 바라보며 평가하는 습관을 기르게 한다.</t>
  </si>
  <si>
    <t>[12인철04-03]</t>
  </si>
  <si>
    <t>아름다움과 선함의 가치를 비교⋅성찰하여 좋은 삶에 필요한 것이 무엇인지 이해하고 창조적으로 여가를 선용하는 자세를 익힌다.</t>
  </si>
  <si>
    <t>[12인철04-04]</t>
  </si>
  <si>
    <t>대중문화 속 창작의 의미를 비판적으로 이해하고 철학적 탐구 공동체 활동을 통해 미래 세상에 필요한 창조 활동을 구현하는 태도를 기른다.</t>
  </si>
  <si>
    <t>[12논리01-01]</t>
  </si>
  <si>
    <t>인간 사고의 형태 중 논리적 사고를 구별하고, 추론과 논증의 특징을 이해한다.</t>
  </si>
  <si>
    <t>신화적 사고, 종교적 믿음, 문학적 상상, 과학적 사고, 합리적 사고 등 다양한 인간 사고의 형태 중에서 논리적 사고와 비논리적 사고의 차이를 구별하고, 추론과 논증이 근거 위에서 주장을 내세우는 것임을 이해한다.</t>
  </si>
  <si>
    <t>[12논리01-02]</t>
  </si>
  <si>
    <t>다양한 논리적 오류를 분석하고 평가한다.</t>
  </si>
  <si>
    <t>올바른 것처럼 보이지만 잘못된 추론을 분석하여, 다양한 형식적⋅비형식적 오류를 분류하고 평가한다.</t>
  </si>
  <si>
    <t>[12논리01-03]</t>
  </si>
  <si>
    <t>비판적 태도를 바탕으로 합리적 의사 결정을 한다.</t>
  </si>
  <si>
    <t>정보와 주장을 수동적으로 받아들이는 태도에서 벗어나 객관적으로 평가한 결과를 바탕으로 상호 존중과 공존을 위한 합리적 의사 결정을 한다.</t>
  </si>
  <si>
    <t>[12논리02-01]</t>
  </si>
  <si>
    <t>연역과 귀납의 특징을 이해하고, 이들을 비교하여 구별한다.</t>
  </si>
  <si>
    <t>연역과 귀납의 특징에 대한 이해를 바탕으로, 다양한 글에 제시된 논증에서 연역 논증과 귀납 논증을 서로 비교하여 구별한다.</t>
  </si>
  <si>
    <t>[12논리02-02]</t>
  </si>
  <si>
    <t>논증을 분석하여 연역 논증의 타당성과 건전성, 귀납 논증의 설득력을 평가한다.</t>
  </si>
  <si>
    <t>[12논리02-03]</t>
  </si>
  <si>
    <t>좋은 논증을 구성하여 토론 및 글쓰기에 활용한다.</t>
  </si>
  <si>
    <t>건전한 연역 논증과 설득력 있는 귀납 논증을 구성하여 토론 및 글쓰기에 활용한다.(나) 영역 성취기준 적용 시 고려 사항</t>
  </si>
  <si>
    <t>[12논리03-01]</t>
  </si>
  <si>
    <t>논리 기호를 활용하여 복잡한 주장을 형식화하고 그 논리적 관계를 밝힌다.</t>
  </si>
  <si>
    <t>자연 언어로 이루어진 복잡한 주장을 논리 기호를 사용하여 단순한 주장 사이의 논리적 관계로 형식화하여 명료화한다.</t>
  </si>
  <si>
    <t>[12논리03-02]</t>
  </si>
  <si>
    <t>논리 기호를 활용하여 논증의 타당성을 판단하고 증명한다.</t>
  </si>
  <si>
    <t>논증의 형식에 의해 결정되는 논증의 타당성을 자연 연역의 논리 기호를 활용하여 증명한다.</t>
  </si>
  <si>
    <t>[12논리03-03]</t>
  </si>
  <si>
    <t>자연 연역의 추론 규칙을 활용하여 함축된 정보를 파악한다.</t>
  </si>
  <si>
    <t>[12논리03-04]</t>
  </si>
  <si>
    <t>연역 논리와 코딩은 모두 논리 절차에 따라 문제를 해결한다는 것을 이해한다.</t>
  </si>
  <si>
    <t>논증에서 자연 연역의 추론 규칙과 프로그래밍에서 코딩은 모두 논리 절차에 기반한다는 점을 이해한다. (나) 영역 성취기준 적용 시 고려 사항</t>
  </si>
  <si>
    <t>[12논리04-01]</t>
  </si>
  <si>
    <t>귀납 추론의 종류를 이해하고, 귀납 논증을 평가한다.</t>
  </si>
  <si>
    <t>[12논리04-02]</t>
  </si>
  <si>
    <t>가설과 증거 사이의 논리적 관계를 분석하고 사회 과학 및 자연 과학에서 활용되는 과학적 방법의 특징을 이해한다.</t>
  </si>
  <si>
    <t>증거가 가설을 입증하거나 약화할 때 증거와 가설 사이의 논리적 관계를 분석하고, 그 논리적 관계에 기초한 과학적 방법이 사회 과학 및 자연 과학에서 어떻게 활용되는지 그 특징을 이해한다.(나) 영역 성취기준 적용 시 고려 사항</t>
  </si>
  <si>
    <t>[12논리04-03]</t>
  </si>
  <si>
    <t>증거를 중시하는 관점에서 과학적 추론에 사용되는 확률과 통계의 역할을 이해한다.</t>
  </si>
  <si>
    <t>[12논리04-04]</t>
  </si>
  <si>
    <t>머신 러닝에서 활용되는 귀납 논리의 특징을 이해한다.</t>
  </si>
  <si>
    <t>[12심리01-01]</t>
  </si>
  <si>
    <t>과학으로서 현대 심리학의 목표와 특징을 이해하고 심리학에 대한 호기심을 갖는다.</t>
  </si>
  <si>
    <t>인간을 대상으로 한다는 점에서는 공통적이나, 다른 인문학적 학문 분야와 달리 심리학은 관찰과 증거를 강조하는 경험주의 철학에 기초하여 과학적 연구 방법을 적용하여 인간을 탐구한다는 차별성을 이해하기 위해 설정된 것이다.</t>
  </si>
  <si>
    <t>[12심리01-02]</t>
  </si>
  <si>
    <t>심리학에서 사용되는 주요 연구 방법의 장단점을 탐색하고 심리학 연구에서 과학적 가치와 윤리적 가치가 조화되는 것의 중요성을 인식한다.</t>
  </si>
  <si>
    <t>관찰 연구, 상관 연구, 실험 연구는 연구 방법으로서 각기 장단점을 가지고 있다는 것을 종합적으로 살펴보기 위하여 설정된 것이다.</t>
  </si>
  <si>
    <t>[12심리01-03]</t>
  </si>
  <si>
    <t>심리학 내 다양한 하위 분야가 실생활과 관련되거나 사회 발전에 기여한 사례를 탐색하고 자신의 진로 탐색과 연결한다.</t>
  </si>
  <si>
    <t>심리학이 인간을 대상으로 한 과학적 연구를 통해 사회적 유익을 창출한다는 공통점 외에는 매우 다른 특성을 가진 다양한 하위 분야가 공존하는 학문임을 이해하고, 자신의 적성⋅흥미와 인접한 분야를 찾아볼 수 있도록 설정된 것이다.</t>
  </si>
  <si>
    <t>[12심리02-01]</t>
  </si>
  <si>
    <t>뇌의 주요 구조와 심리적 기능의 관계, 경험⋅학습이 뇌 가소성에 미치는 영향을 탐구하여 행동의 생물학적 기초에 대한 새로운 시각을 갖는다.</t>
  </si>
  <si>
    <t>인간의 뇌는 심리적 기능을 주로 담당하는 영역이 나뉘어 있는 방식으로 국지화되어 있으며, 특히 청소년기 뇌 기능은 고정된 것이 아니라 학습과 경험에 따라 달라지는 가소성이 높음을 이해하기 위해 설정된 것이다. 뇌의 주요 구조 중 주요 대뇌피질 영역(엽 단위)과 기능에 초점을 맞춘다.</t>
  </si>
  <si>
    <t>[12심리02-02]</t>
  </si>
  <si>
    <t>전 생애 발달 과정에서 청소년기의 특징⋅발달 과업을 이해하고 성찰함으로써 자기 수용 태도를 함양한다.</t>
  </si>
  <si>
    <t>전 생애 발달 과정의 관점에서 현재 자신이 거쳐 가는 청소년기를 통시적으로 조망하기 위해 설정된 것이다. 청소년기의 인지, 사회성(애착), 도덕성 발달의 특징과 청소년기 발달 과업인 자아 정체감 형성, 분리 개별화의 특성을 이해함으로써 자기 수용의 태도를 키우고, 성인기로 진입할 준비를 하는 데 초점을 둔다.</t>
  </si>
  <si>
    <t>[12심리02-03]</t>
  </si>
  <si>
    <t>지각⋅기억⋅학습의 기본 원리에 대한 이해를 바탕으로 실생활에서의 오류를 인지하고 학습 효율을 높이는 방안을 실천하여 자기 효능감을 증진한다.</t>
  </si>
  <si>
    <t>[12심리02-04]</t>
  </si>
  <si>
    <t>성격과 동기 차원에서 주요 개인차의 개념을 이해하고 올바른 자기 이해에 활용한다.</t>
  </si>
  <si>
    <t>개인차의 지속적 특성인 성격과 역동적 특성인 동기는 인간을 분석하는 데 상보적인 개념이라는 이해를 바탕으로 주요 개인차 개념을 파악하고 스스로에게 적용해 봄으로써 자신을 객관적으로 바라보는 데 도움이 될 수 있도록 설정된 것이다. 성격에서는 과학적 성격 이론에서 도출된 개념(예: 특질 이론, 사회인지 이론 등)에 중점을 둔다.</t>
  </si>
  <si>
    <t>[12심리02-05]</t>
  </si>
  <si>
    <t>부정⋅긍정 정서의 종류와 기능을 탐색하고 실생활에서 효과적인 정서 조절 방법을 이해하고 실천한다.</t>
  </si>
  <si>
    <t>[12심리03-01]</t>
  </si>
  <si>
    <t>상황적 요인이 개인의 태도 변화와 집단 내 상호 작용에 미치는 영향을 분석하고 타인에 대한 개방적 태도를 가진다.</t>
  </si>
  <si>
    <t>개인의 행동을 이해하는 데 상황적 요인과 집단 역동이 중요함을 인식하기 위하여 설정된 것이다. 일반적으로 타인의 행동에 대한 귀인을 할 때 상황적 요인의 영향력을 과소평가하는 경향이 있으며, 사회적 역할과 규범에 따라 집단 특유의 상호 작용(예: 집단 사고, 동조, 복종 등)이 나타날 수 있다.</t>
  </si>
  <si>
    <t>[12심리03-02]</t>
  </si>
  <si>
    <t>상황적 관점에서 사회 문제의 원인을 분석하고 창의적 해결 방안을 도출하여 실천한다.</t>
  </si>
  <si>
    <t>[12심리03-03]</t>
  </si>
  <si>
    <t>갈등적 관계를 촉진하거나 완화하는 요인을 탐색하고 적용함으로써 사회 통합을 위한 의사소통 능력과 공동체 의식을 기른다.</t>
  </si>
  <si>
    <t>고정 관념이 부정확하지만 선호되고 유지되는 이유에 대한 이해를 바탕으로, 부정적 고정 관념인 편견이 차별 행동으로 이어질 위험성을 인식할 수 있도록 설정된 것이다. 나아가 집단 간 갈등적 관계를 해소할 수 있는 방안을 우리 사회 문제에 적용할 수 있도록 한다.</t>
  </si>
  <si>
    <t>[12심리03-04]</t>
  </si>
  <si>
    <t>협력적 관계의 형성과 발전에 기여하는 요인을 탐색하고 적용함으로써 타인을 배려하는 자세를 갖고 긍정적인 인간관계를 맺는 능력을 키운다.</t>
  </si>
  <si>
    <t>협력적 관계(우정과 사랑) 형성과 발전에 작용한 요인(예: 근접성, 유사성, 보상성 등)을 탐색하고 비언어적⋅언어적 대인 기술을 연습해 보기 위하여 설정된 것이다.</t>
  </si>
  <si>
    <t>[12심리04-01]</t>
  </si>
  <si>
    <t>적응⋅부적응의 의미와 유형을 탐색하여 인간 적응의 역동성⋅다양성을 이해하고 정신 장애에 대한 편견을 해소한다.</t>
  </si>
  <si>
    <t>이상성에 대한 절대적이고 보편적인 단일 기준은 없다는 것을 인식하고, 정신 장애인에 대한 사회적 낙인과 편견의 부작용에 대하여 생각해 볼 수 있도록 설정된 것이다.</t>
  </si>
  <si>
    <t>[12심리04-02]</t>
  </si>
  <si>
    <t>삶의 변화에 따른 스트레스 발생과 건강의 관계를 이해하고 효과적인 스트레스 대처 방안을 적용하여 회복 탄력성을 기른다.</t>
  </si>
  <si>
    <t>[12심리04-03]</t>
  </si>
  <si>
    <t>행복의 의미에 대한 탐색에 기초하여 자기 자신의 행복관을 정립하고 개인과 사회 수준에서 행복을 증진할 수 있는 방안을 탐색하고 실천한다.</t>
  </si>
  <si>
    <t>행복의 의미(예: 쾌락적 행복 대[對] 자기실현적 행복)와 기준이 다양할 수 있으며, 유전적으로 타고나는 행복의 기저선 외에 개인의 의지적인 활동을 통해 행복도가 증진될 수 있다는 점을 이해할 수 있도록 설정된 것이다.</t>
  </si>
  <si>
    <t>[12교이01-01]</t>
  </si>
  <si>
    <t>교육적 존재로서의 인간의 본질을 인간의 삶과 연계하여 이해하며 교육의 중요성에 대해 성찰한다.</t>
  </si>
  <si>
    <t>동⋅서양 교육 사상가(교육 철학자)들의 격언이나 언설과 함께 다양하고 흥미로운 실제 사례를 통해 교육이 인간 삶의 필수불가결한 요소이자 조건임을 이해할 수 있도록 한다.</t>
  </si>
  <si>
    <t>[12교이01-02]</t>
  </si>
  <si>
    <t>기존의 교육 개념과 새롭게 강조되고 있는 교육 개념을 비교 분석하여 그 특징을 이해하고 이를 바탕으로 교육에 관한 자신의 관점과 태도를 정립한다.</t>
  </si>
  <si>
    <t>[12교이01-03]</t>
  </si>
  <si>
    <t>사회 변화에 적응하기 위한 평생 학습의 필요성을 이해하고, 평생 학습 사회의 주인공에게 요구되는 자기주도적 학습 역량의 중요성에 대해 성찰한다.</t>
  </si>
  <si>
    <t>급변하는 현대 사회에 적응하며 행복한 삶을 살아가기 위해서는 전 생애에 걸쳐 새로운 지식과 기술, 태도 등을 자기주도적으로 학습해 나가는 역량과 태도가 무엇보다 중요함을 강조한다.</t>
  </si>
  <si>
    <t>[12교이02-01]</t>
  </si>
  <si>
    <t>학습에 대한 다양한 관점에 기반하여 학습의 의미와 원리를 이해하고 자신에게 맞는 효과적인 학습 전략과 방법을 탐색하고 적용한다.</t>
  </si>
  <si>
    <t>자신의 학습 과정이나 결과에 영향을 미치는 개인적⋅환경적 요소를 이해하고, 자신의 학습에 도움이 되는 방향으로 이들 개인적⋅환경적 요소를 조성하거나 변화시키는 방안을 탐색하는 것을 강조한다.</t>
  </si>
  <si>
    <t>[12교이02-02]</t>
  </si>
  <si>
    <t>학습자 특성에 대한 이해를 바탕으로 학습자의 능동적인 참여와 사고를 촉진하는 효과적인 교수 전략과 방법을 탐색하고 적용한다.</t>
  </si>
  <si>
    <t>효과적인 교수는 가르치는 방법이나 내용에 대한 지식만으로 이루어질 수 없으며 학습자에 대한 공감적 이해와 관심의 토대 위에서 가능하다는 점을 강조한다.</t>
  </si>
  <si>
    <t>[12교이03-01]</t>
  </si>
  <si>
    <t>교육 제도가 형성되고 변화해 온 역사적 배경과 사회적 맥락에 비추어 현대 교육 제도의 특징과 문제점을 분석하고 미래 발전 방향을 탐색한다.</t>
  </si>
  <si>
    <t>교육 제도의 성립과 변천 과정을 파악하면서 현재 우리들의 삶에 영향을 미치고 있는 교육 제도의 성과와 한계, 전망 등에 대해 살펴볼 수 있도록 안내한다. 나아가 다음 세대에게 필요한 미래교육 제도의 발전 방향을 추론하는 것도 함께 다룬다.</t>
  </si>
  <si>
    <t>[12교이03-02]</t>
  </si>
  <si>
    <t>현대 사회의 교육은 사회 통합과 평등의 실현에 기여하기도 하지만, 사회적 불평등을 재생산하기도 함을 이해하고, 그 원인을 분석하고 대안을 탐색한다.</t>
  </si>
  <si>
    <t>[12교이03-03]</t>
  </si>
  <si>
    <t>한국 사회에는 해결해야 할 다양한 교육 문제들이 존재함을 인식하고, 이의 해결에 필요한 사회적 책임감과 실천 태도를 기른다.</t>
  </si>
  <si>
    <t>우리나라의 주요 교육 정책과 이에 따른 다양한 교육 문제들을 알아보며, 이를 해결하기 위한 방안을 탐색하도록 한다. 특히 입시 위주 교육, 주입식 암기 교육, 학벌주의 교육, 사회 양극화에 따른 교육 격차와 불평등 등 현대 사회의 다양한 교육 문제들을 살펴보고, 이를 해결하기 위한 방안을 찾는 데 중점을 둔다.</t>
  </si>
  <si>
    <t>[12교이04-01]</t>
  </si>
  <si>
    <t>미래 사회 변화에 대처하고 지속가능성을 확보하기 위해 강조되는 디지털 및 인공지능 소양 함양 교육과 생태전환 교육 등의 중요성을 이해하고 구체적 실천 방안을 탐색한다.</t>
  </si>
  <si>
    <t>[12교이04-02]</t>
  </si>
  <si>
    <t>디지털 정보 기술과 인공지능 기술로 인한 미래 학습 환경과 교육 방법의 변화를 예측해 보고 미래 교수⋅학습의 주체에게 요구되는 역량이 무엇인지 탐색한다.</t>
  </si>
  <si>
    <t>디지털 정보 기술과 인공지능 기술의 특징을 이해하고, 이러한 기술이 미래 학습 환경 및 교육 방법의 변화에 미칠 영향을 예측한다. 예를 들어 현재 빠르게 발전하고 있는 사물 인터넷, 클라우드, 빅데이터, 메타버스 등의 디지털 정보 기술과 인공지능 기술로 인한 학습 환경 및 교육 방법의 변화 양상에 대한 자료를 찾아 분석해 보게 한다.</t>
  </si>
  <si>
    <t>[12삶종01-01]</t>
  </si>
  <si>
    <t>다양한 인간의 삶에서 종교의 의미와 역할, 종교성과 영성을 이해한다.</t>
  </si>
  <si>
    <t>‘삶과 종교’를 배움으로써 얻게 되는 긍정적 측면을 알게 하여 종교적 삶에 관심을 가질 수 있도록 설정한 것이다. 종교는 눈에 보이지 않는 ‘초월적 세계와 인간의 관계’를 설명해 주고, ‘인간 삶의 궁극적 질문에 대한 탐구’를 돕는 역할을 해왔다는 것을 알아가는 학습이 이루어지도록 하는 데 초점을 둔다.</t>
  </si>
  <si>
    <t>[12삶종01-02]</t>
  </si>
  <si>
    <t>종교적인 질문을 통해 청소년 시기에 경험하는 삶의 다양한 문제를 탐색한다.</t>
  </si>
  <si>
    <t>청소년 시기에 경험하는 삶의 다양한 문제 가운데 종교적으로 질문하고 답을 찾아갈 수 있는 문제들을 구분하고 지혜를 찾는 경험을 하도록 설정한 것이다. 청소년의 삶에서 경험하는 다양한 상황들을 학습 내용과 관련하여 다루는 데 초점을 둔다. 또한 ‘삶이란 무엇인가?, 사람은 어떤 존재인가?, 의미 있는 삶이란 무엇인가?, 죽음은 무엇인가?, 고통은 왜 있는가?’ 등과 같은 궁극적 질문에 대해 종교적으로 성찰하는 데 초점을 둔다.</t>
  </si>
  <si>
    <t>[12삶종01-03]</t>
  </si>
  <si>
    <t>사회적 문제를 종교적 관점으로 바라보고 종교적 통찰과 지혜를 삶과 일상에 적용하고 실천하는 태도를 갖는다.</t>
  </si>
  <si>
    <t>[12삶종02-01]</t>
  </si>
  <si>
    <t>다양한 종교의 기원과 창시자, 역사적 형성 과정을 탐색한다.</t>
  </si>
  <si>
    <t>인간의 역사에 지속적으로 영향을 준 종교들의 시작, 창시자의 생애와 사상, 당시 사회에 미친 영향을 살펴보고, 어떻게 전파되고 현재까지 지속되는 종교로 성장할 수 있었는지를 살펴봄으로써 종교의 의미와 영향력을 생각하게 한다.</t>
  </si>
  <si>
    <t>[12삶종02-02]</t>
  </si>
  <si>
    <t>다양한 종교의 경전과 전통, 교리와 문화, 공동체와 의례를 비교하여 특징을 분석한다.</t>
  </si>
  <si>
    <t>다양한 종교의 경전과 전통, 교리와 문화, 공동체와 의례를 이해하고, 그 이해를 바탕으로 각 종교의 특징과 차이를 비교함으로써 다양한 종교의 특징을 이해하고 공통적으로 제시하는 삶의 지혜를 파악하는 데 초점을 둔다.</t>
  </si>
  <si>
    <t>[12삶종02-03]</t>
  </si>
  <si>
    <t>다양한 종교의 세계관과 윤리적 가치를 인식하고, 존중하는 태도를 기른다.</t>
  </si>
  <si>
    <t>다양한 종교가 가지고 있는 교리와 문화, 공동체와 종교적 실천을 통해 나타나는 다양한 삶의 모습과 사회적 관계, 세계와 인간의 관계, 윤리적 기준과 추구하는 삶의 방식의 의미와 가치를 인식함으로써 서로 다른 종교에 대해 존중하는 태도를 함양할 수 있게 한다. 각 종교의 세계관과 윤리적 가르침에 대한 탐구를 통해 다양한 종교의 가치를 이해하고 종교적 지혜를 파악하는 데 초점을 둔다.</t>
  </si>
  <si>
    <t>[12삶종03-01]</t>
  </si>
  <si>
    <t>일상생활과 통과 의례에 담긴 종교 문화유산을 이해하고 삶의 과정을 통과 의례를 중심으로 성찰한다.</t>
  </si>
  <si>
    <t>일상생활과 관혼상제(冠婚喪祭)와 같은 인생의 주요 사건 안에 담긴 종교적 측면을 인식함으로써 자신의 일상적 삶의 과정에서 통과 의례를 설정하고 이를 중심으로 종교적 삶의 모습을 성찰하는 데 초점을 둔다.</t>
  </si>
  <si>
    <t>[12삶종03-02]</t>
  </si>
  <si>
    <t>음악, 미술, 건축, 문학 영역에서 종교적 문화유산을 탐구하고 아름다움을 감상한다.</t>
  </si>
  <si>
    <t>인류 문명사의 주요한 구성 요소에는 다양한 종교 전통이 남겨져 있다. 이에 지역과 시대를 초월하여 감동을 주고 있는 종교적 음악, 미술, 건축, 문학 등 다양한 유형⋅무형의 종교 유산에 대해 조사하고 종교적으로 표현된 아름다움을 감상하여 종교 유산을 입체적으로 이해할 수 있도록 지도한다.</t>
  </si>
  <si>
    <t>[12삶종03-03]</t>
  </si>
  <si>
    <t>다양한 종교 문화유산을 분야별로 분류하고 특징을 분석하며, 인류의 문화유산으로 존중하는 마음을 갖는다.</t>
  </si>
  <si>
    <t>오랜 시간에 걸쳐 형성된 종교 문화유산은 다양한 범주에 걸쳐 시대적 특징을 담고 있으며, 이를 이해하는 것은 종교의 역사나 문화뿐 아니라 인류 문명사에 대한 지식의 확장을 가져올 수 있다는 데에 초점을 둔다.</t>
  </si>
  <si>
    <t>[12삶종03-04]</t>
  </si>
  <si>
    <t>다양한 분야의 종교 문화유산을 감상하고, 이를 창의적이고 융합적으로 표현한다.</t>
  </si>
  <si>
    <t>동양과 서양, 세계 종교와 한국 종교 등의 주요 문화유산(유적⋅유물 등의 유형 문화나 무형 문화)을 지역별⋅주제별 등으로 균형 있게 세분화하여 종교와 문화를 입체적으로 이해할 수 있도록 하고, 그 역사적⋅문화적 가치가 특정 종교 전통에 국한되지 않는다는 점을 분석하도록 한다. 종교 문화유산에 대한 감상을 통해 새로운 시대에 부합하고, 문제 해결을 위한 융합적 접근을 실천하고, 창의적으로 생각하고 표현하도록 지도한다.</t>
  </si>
  <si>
    <t>[12삶종04-01]</t>
  </si>
  <si>
    <t>다양한 종교의 핵심 가치와 덕목을 탐구하고 포용성과 상호 존중이라는 공통점을 발견한다.</t>
  </si>
  <si>
    <t>다양한 종교의 핵심 가치와 덕목에 대한 탐구는 다종교⋅다문화 사회에서 종교에 대한 존중, 균형적 인식과 태도가 필요하다는 관점을 기르기 위해 설정된 것이다. 현대 사회에서 발생하고 있는 종교적 갈등뿐만 아니라 사회 문제를 해결하기 위한 종교의 역할을 탐구함으로써 이에 부합하는 포용성과 상호 존중의 시민 의식을 탐색하고 함양하는 것을 중점으로 한다.</t>
  </si>
  <si>
    <t>[12삶종04-02]</t>
  </si>
  <si>
    <t>종교가 추구하는 공동의 선(善)을 이해하고, 변화하는 사회에 필요한 시민 의식과 태도를 갖는다.</t>
  </si>
  <si>
    <t>[12삶종04-03]</t>
  </si>
  <si>
    <t>현대 사회의 문제에 대해 종교계가 제시하는 여러 해법을 이해함으로써 공동체의 문제 해결에 필요한 연대감과 책임감을 기른다.</t>
  </si>
  <si>
    <t>평화 교육, 생명 존중, 기후위기, 생태환경 문제 등과 같은 사회의 주요 관심사에 대해 종교계가 여러 해법을 제시한다는 점을 통해 종교와 현대 사회의 관련성을 설명하고 종교계의 여러 해법과 사회적 해법이 대화의 대상이라는 점을 설명한다. 고도화된 디지털 정보 기술 사회에서 경시될 수 있는 인간과 생명의 존엄을 유지하기 위한 시민 의식을 제시하고 이를 통해 사회 문제에 대한 종교인들의 책임 있는 삶의 모습들을 고찰하여 인간 삶과 공동체의 문제 해결을 위한 지속가능한 방안을 탐구하는 데에 중점을 둔다.</t>
  </si>
  <si>
    <t>[12삶종04-04]</t>
  </si>
  <si>
    <t>종교와 유사 종교를 구분할 수 있는 관점을 기른다.</t>
  </si>
  <si>
    <t>인간의 삶에 대한 종교적 성찰과 비종교적 성찰의 차이를 구분하고, 종교와 유사 종교를 구별하는 것에 중점을 둔다. 나아가 종교적 통찰력과 지혜를 바탕으로 자신의 삶과 사회적 문제를 파악하고 해결 방안을 제시할 수 있도록 한다.</t>
  </si>
  <si>
    <t>[12보건01-01]</t>
  </si>
  <si>
    <t>건강 개념과 건강영향요인을 다양한 관점으로 탐구하여 개인과 공동체의 건강 증진을 추구하는 태도를 갖는다.</t>
  </si>
  <si>
    <t>건강영향요인은 건강에 영향을 미치는 요인을 말하며 개인적⋅사회적 지지요인과 장애요인이 있다.</t>
  </si>
  <si>
    <t>[12보건01-02]</t>
  </si>
  <si>
    <t>몸과 마음의 신호와 건강지표를 통해 개인적, 사회적 건강상태를 평가하여 건강관리를 계획하고 생활화한다.</t>
  </si>
  <si>
    <t>몸과 마음의 신호는 활력징후(Vital Sign)나 이상 증상, 통증, 다양한 감정과 편안하고 불편함을 느끼는 마음 등을 들 수 있다. 혈압, 맥박, 호흡, 체온 등의 활력징후는 몸과 마음이 보내는 신호이자 기초적인 건강 지표로 그 의미와 측정법을 알고, 건강관리에 활용할 수 있어야 한다. 건강 상태 평가는 건강 조사, 건강검사, 건강통계의 데이터 등 다양한 지표를 활용하되, 가능한 공식적인 기관이나 연구 등의 통계를 활용하도록 한다.</t>
  </si>
  <si>
    <t>[12보건01-03]</t>
  </si>
  <si>
    <t>생애주기별 건강 특성을 고려한 건강관리 전략을 건강관리 제도와 연관지어 탐색한다.</t>
  </si>
  <si>
    <t>생애주기별 건강 특성을 생체리듬과 관련하여 이해하고 개인과 가족 및 지역사회의 건강관리에 긍정적인 영향을 미치도록 한다.</t>
  </si>
  <si>
    <t>[12보건01-04]</t>
  </si>
  <si>
    <t>건강관리의 역사를 통해 건강관리에 대한 관점과 전략을 비판적으로 검토하여 건강관리 및 제도 변화 모색에 시사점을 적용한다.</t>
  </si>
  <si>
    <t>[12보건01-05]</t>
  </si>
  <si>
    <t>개인⋅공동체의 질병예방과 건강관리에 건강생활기술과 건강관리모델을 적용하여 평가하고, 국가적⋅국제적 수준의 건강문제와 이에 대한 건강옹호 방안을 탐색한다.</t>
  </si>
  <si>
    <t>[12보건02-01]</t>
  </si>
  <si>
    <t>의약품 오⋅남용의 개인적, 사회적 위험과 영향요인을 분석하고 문화적 제도적 변화를 고려하여 의약품을 안전하게 선택할 수 있다.</t>
  </si>
  <si>
    <t>건강과 웰빙에 대한 관심이 증가하는 한편 의약품⋅담배⋅술⋅마약 등 물질 오⋅남용 및 중독으로 인한 개인적 사회적 위험도 증가하고 있다. 그러므로 몸과 마음에 영향을 주는 약품, 식품, 중독성 약물 등의 물질 사용의 위험과 문제점을 분석하고, 물질의 효능⋅효과, 주의사항, 물질 간의 상호 작용 등을 탐색하도록 한다. 의료화 및 개별화, 인구 고령화 및 만성질환자 수의 증가로 의약품 오남용, 약물 다제병용, 중독성 약물 사용 인구가 증가하고 있으므로 이러한 현상을 조사하여 부작용과 폐해에 대처하고 지지체계를 탐색한다. 또한 건강생활기술과 건강 문해력, 디지털 문해력을 강화하여 온라인 구입과 유입에 대해 바람직한 지지체계 활용 능력을 높이도록 한다.</t>
  </si>
  <si>
    <t>[12보건02-02]</t>
  </si>
  <si>
    <t>물질 및 행위 중독의 특성, 위험과 영향요인을 분석하고, 개인적, 사회적 측면에서 중독 예방과 지지체계를 탐색하여 제시한다.</t>
  </si>
  <si>
    <t>[12보건02-03]</t>
  </si>
  <si>
    <t>정서⋅정신건강을 이루는 요소와 관련된 개인적, 사회적 요인을 연계하여 탐구하고, 자아 존중감과 회복 탄력성 및 유대 증진 방안을 도출하여 건강을 관리한다.</t>
  </si>
  <si>
    <t>[12보건02-04]</t>
  </si>
  <si>
    <t>감정 및 정서가 삶에 미치는 영향과 행복 및 스트레스, 우울⋅불안⋅질병 등을 초래하는 상황의 조건과 의미를 탐구하여, 개인과 공동체의 행복한 삶의 양식을 지지한다.</t>
  </si>
  <si>
    <t>[12보건02-05]</t>
  </si>
  <si>
    <t>삶과 죽음 및 상실의 개인적, 사회적, 문화적 의미와 이에 대한 질문을 스스로 구성하고 응답하여, 삶의 소중함을 깨닫고 죽음⋅상실에 대한 쟁점에 대해 의사 결정을 할 수 있다.</t>
  </si>
  <si>
    <t>[12보건03-01]</t>
  </si>
  <si>
    <t>성의 개념과 생애주기별 성적 특성을 성인지적 관점에서 탐색하여 건강하고 행복한 성 의식과 성문화 및 환경을 추구한다.</t>
  </si>
  <si>
    <t>성의 개념을 생물학적 성(sex), 사회⋅문화적 성(gender) 등으로 비교⋅이해하도록 한다.</t>
  </si>
  <si>
    <t>[12보건03-02]</t>
  </si>
  <si>
    <t>성적 발달과 신체상 및 몸에 대한 권리에 대해 알아보고 성 건강을 관리하며 개선방안을 제안한다.</t>
  </si>
  <si>
    <t>성적 발달에 따른 성적 변화와 욕구 및 표현 방식을 자신과 주변, 다른 나라의 사례나 담론과 비교하여 이해하고 균형 있게 탐색하며 성 건강을 관리하도록 한다. 또한, 옷차림, 다이어트 등 몸과 신체상에 관련이 있는 의사 결정을 할 때, 친구와 가족, 미디어와 문화 등 사회적 영향을 통찰하여 건강에 유익하게 결정하고 관리하도록 한다.</t>
  </si>
  <si>
    <t>[12보건03-03]</t>
  </si>
  <si>
    <t>사랑과 성적자기결정권을 사회적 조건과 연계하여 균형 있게 탐색하여 안전하고 행복한 선택을 위한 대처전략을 세우고 실천⋅옹호한다.</t>
  </si>
  <si>
    <t>[12보건03-04]</t>
  </si>
  <si>
    <t>성 건강 및 권리의 사회적 맥락을 탐색하여 생리, 임신과 피임, 미혼부모 등 건강관리에 균형 있게 적용하고 대안을 모색하는 태도를 갖는다.</t>
  </si>
  <si>
    <t>성 건강 및 권리에 관련된 WHO 및 아동권리협약, UNESCO 국제 성교육 가이드라인 등 국제기준과 우리나라의 관련법을 참고하여 생리 등 생식, 임신과 피임, 출산과 관련된 건강관리와 생리 공결제, 산후 휴가 및 육아 휴가, 미혼모 문제 및 대책 등을 다루도록 한다. 최근 이슈가 되고 있는 데이트 폭력 등을 다룰 수도 있다. 다만, 사회적 인식 수준과 서로 다른 입장을 고려하여 균형 있는 태도로 생리적 측면과 사회문화적 맥락을 적절하게 다루도록 한다.</t>
  </si>
  <si>
    <t>[12보건03-05]</t>
  </si>
  <si>
    <t>성매개감염병을 포함하여 성 건강을 위협하는 문제들을 성문화 및 성역할과 관련지어 비판적으로 탐색하여 건강관리에 적용하고 성미디어 문해력 향상을 포함한 개인적⋅사회적 대안과 제도 개선을 제안한다.</t>
  </si>
  <si>
    <t>[12보건03-06]</t>
  </si>
  <si>
    <t>성폭력을 포함한 성 건강 관련 쟁점 이슈들에 대해 다양한 입장의 근거와 맥락, 고정관념, 차별, 불평등한 상황을 파악하여 건강관리에 적용하고, 법과 제도⋅문화 등 변화 방안을 제안⋅옹호한다.</t>
  </si>
  <si>
    <t>성폭력 등 성 건강 관련 위험 이슈의 쟁점을 사회적 맥락과 문화, 법과 제도 등을 통해 살펴보고, 성폭력 예방을 위한 개인적 사회적 차원의 대처방안과 자원을 모색하도록 한다. 특히 대중매체에 나타나는 성 고정관념 및 차별적 요소를 비판적으로 통찰하도록 하고, 건전한 문화형성을 위한 개선방안을 개인⋅공동체⋅국가 수준에서 제시하도록 한다. 성문화에서는 균형있는 관점으로 성윤리를 다룰 수 있다.</t>
  </si>
  <si>
    <t>[12보건04-01]</t>
  </si>
  <si>
    <t>건강안전의 의미와 사회적 영향요인, 위험요인을 평가하고, 개인⋅공동체⋅국가 수준의 예방과 대처, 안전 문화를 포함한 건강안전 지향적 환경 개선을 탐색하고 실천한다.</t>
  </si>
  <si>
    <t>개인과 공동체, 국가 수준에서 건강 안전의 영향요인과 위험요인을 평가하여, 사전에 질병과 사고의 위험을 예방하고 관리하며, 위험 발생 시 적극적으로 대처할 수 있도록 한다. 예를 들어 다중이 밀집된 곳에서의 위험요인을 파악하고 안전 방안을 세우며, 생활기술과 자원, 제도 등을 활용한 대처전략을 상황에 적절하게 적용하고 평가하도록 한다. 안전 방안에는 사고 예방 및 안전 수칙, 구조 활동과 협력 등을 포함할 수 있다. 나아가 안전 문화의 확산을 포함하여 건강과 안전을 지향하는 환경 개선방안을 탐색하고 실천하도록 한다.</t>
  </si>
  <si>
    <t>[12보건04-02]</t>
  </si>
  <si>
    <t>인체의 기초 생리와 병리에 대한 이해를 바탕으로 주요 급⋅만성 질병의 위험요인을 사회적 조건과 관련지어 탐색하고 대비하여 질병이 있어도 함께 건강하게 살아갈 수 있도록 관리한다.</t>
  </si>
  <si>
    <t>질병의 이해 및 위험에 대해 배우는 한편 질병이 있어도 혼자 위험에 처하거나 과도하게 좌절하지 않고, 공감과 지지를 통해 공동체와 함께 안전하게 살아갈 수 있도록 한다. 학교나 가정, 사회적 상황에 따라 제1형 당뇨, 아나필락시스 쇼크의 위험이 있는 알레르기, 심장병, 결핵, 암 등을 다룰 수 있다. 질병의 기초 생리 및 병리, 주요한 특성과 위험을 이해하고, 질병 발생과 경과, 회복과 안전에 영향을 미치는 요인에 대해 함께 협력하여 대응하도록 한다.</t>
  </si>
  <si>
    <t>[12보건04-03]</t>
  </si>
  <si>
    <t>감염병과 면역의 원리를 이해하고 개인과 공동체가 지켜야 할 건강수칙과 대응 방안을 사회적 차원에서 비판적으로 탐색하여 생활에 적용한다.</t>
  </si>
  <si>
    <t>감염병의 기본 원리 및 인체의 항상성 유지를 위한 역동적인 과정으로서 면역의 원리와 환경과의 상호 작용을 이해함으로써 신종 감염병의 출현과 대유행을 비롯한 질병 양상의 변화 원인과 상황을 개인적, 사회적 차원에서 분석하고 대처하도록 설정된 것이다. 가능하면 개인적, 국가적, 국제적 차원의 건강수칙 혹은 매뉴얼을 비교하여 실천 방안 및 건강자원의 접근과 분배, 활용에 대해 탐색한다.</t>
  </si>
  <si>
    <t>[12보건04-04]</t>
  </si>
  <si>
    <t>직업병과 근로 조건, 작업 환경을 포함한 영향요인 및 법과 제도를 분석하여 안전 수칙을 포함한 예방관리 방안 및 개선방안을 제안한다.</t>
  </si>
  <si>
    <t>는 직업병의 기본적인 개념과 발생 원리, 분류에 대한 이론을 토대로 우리나라의 주요 직업병 발생 현황을 분석하고, 직업병 발생의 원인과 예방관리를 위한 개인적⋅사회적 인식과 노력, 관련 정책 및 제도를 평가하도록 한다. 이 과정에서 직업병 예방과 질병 부담 감소에 필요한 개인적, 사회 제도적 노력을 알아보고 대안을 탐색하도록 한다.</t>
  </si>
  <si>
    <t>[12보건04-05]</t>
  </si>
  <si>
    <t>다양한 응급상황에서 심폐소생술 및 자동심장충격기 사용을 포함한 응급처치 방법을 익혀서 협력적으로 적용하며, 응급의료체계와 자원의 활용을 포함한 건강 안전 방안을 탐색하고 발전시킨다.</t>
  </si>
  <si>
    <t>질병 및 사고의 특성과 상황에 따른 응급처치의 원리와 방법을 이해하고, 응급상황에 신속하게 협력적으로 대처하도록 한다. 나아가 우리나라의 응급의료체계와 건강자원에 대한 이해와 탐색을 통해 일상생활에서 경험하는 다양한 응급상황에 안전 방안을 세워 신속하게 활용하고 대처하며, 협력 체계와 시스템 개선을 모색하도록 한다.</t>
  </si>
  <si>
    <t>[12보건05-01]</t>
  </si>
  <si>
    <t>건강권과 건강자원 관련 제도의 발전 과정을 이해하고 비판적으로 탐색한다.</t>
  </si>
  <si>
    <t>는 건강권의 기본 개념, 역사적 확립 과정과 변천을 이해하고, 건강자원의 접근성과 이용가능성, 형평성 등이 건강권에 미치는 영향을 분석하여 개인적, 사회적 차원에서 건강권을 보장하는데 필요한 건강자원 활용 및 개선방안을 개인적, 사회 제도적 차원에서 탐색하도록 설정되었다. ‘옹호활동’이란 세계보건기구가 제시한 건강증진 기본 전략 중 하나로, 건강 이익을 대변하고 정책에 영향을 주는 모든 활동으로써 정치적 공약, 정책 지원, 사회적 수용과 지지 시스템을 확보하는 다양한 활동을 포괄하는 개념이다.</t>
  </si>
  <si>
    <t>[12보건05-02]</t>
  </si>
  <si>
    <t>권리의식과 책임감을 가지고 건강증진을 위한 건강자원의 활용 가능성, 제도와 정책 개선 방안 제안 등 건강 지향적 환경을 탐색하고 옹호한다.</t>
  </si>
  <si>
    <t>[12보건05-03]</t>
  </si>
  <si>
    <t>디지털⋅인공지능 시대에 따른 보건의료 서비스 및 제도, 건강정보의 변화를 탐색하고 관련된 쟁점을 종합하여 균형 있게 활용하고 개선방안을 제안한다.</t>
  </si>
  <si>
    <t>는 국가별 보건의료 제도와 서비스 특성을 이해하고, 건강자원의 기본 개념과 범주를 시대적, 문화적, 사회적 차원에서 비교⋅분석하도록 설정되었다. 디지털⋅인공지능 기술의 발달이 건강자원의 개념과 범주에 가져온 변화를 탐색하고 비판적으로 분석하여 활용하고 개선방안과 관련하여 디지털 문해력 역량과 관련 옹호 역량을 기르도록 한다.</t>
  </si>
  <si>
    <t>[12보건05-04]</t>
  </si>
  <si>
    <t>기후변화가 건강에 미치는 영향을 탐색하고, 지속가능한 사회를 위한 개인⋅국가⋅세계의 협력과 연대, 옹호 활동의 실천 방안을 탐색한다.</t>
  </si>
  <si>
    <t>는 기후변화와 환경, 질병의 상호 작용을 이해하고, 환경과 기후변화가 초래하는 건강문제와 질병에 대처하기 위한 개인적, 사회적 노력을 탐색하고 분석하여 건강을 유지하고 증진하는데 필요한 활동을 실천하도록 설정되었다. 환경과 기후변화가 건강에 미치는 영향은 개인적, 국지적 차원에 국한해서 해결책을 찾을 수 없는 문제이므로 국가적, 국제적 차원의 다양한 사회 제도적 방안과 협력, 연대, 옹호활동을 탐색하여 참여하고 실천하도록 한다.</t>
  </si>
  <si>
    <t>[12보건05-05]</t>
  </si>
  <si>
    <t>개인과 사회의 건강 인식⋅선택⋅행위에 미치는 건강 신념⋅규범⋅관행⋅미디어의 영향을 분석하여 개인과 공동체의 건강관리에 유익한 건강문화 형성과 확산 방안을 제시한다.</t>
  </si>
  <si>
    <t>는 건강문화와 그 하위 요소로서 건강 신념, 관행, 미디어의 기본 개념을 이해하고, 일상생활의 구체적인 사례를 통해 건강문화와 건강의 상호 작용을 탐색하여 건강행동과 질병행동, 질병예방과 관리, 건강증진 활동에 건강문화를 활용하는 방안을 탐색하여 제시하도록 설정된 것이다. 다른 영역의 성문화, 정신건강 문화, 건강안전 관련 문화와 연계할 수 있다. 건강과 질병에 대한 사회적 압력과 편견이 건강증진과 질병 예방에 미치는 영향을 분석함으로써 건강에 유익한 건강문화 형성과 확산에 필요한 개인적, 사회 제도적 노력을 탐색하여 실천하도록 한다.</t>
  </si>
  <si>
    <t>[12인경01-01]</t>
  </si>
  <si>
    <t>합리적인 의사 결정 과정을 실생활의 사례에 적용하여 이해하고 개인의 의사 결정에 따른 결과를 분석한다.</t>
  </si>
  <si>
    <t>은 개인의 합리적 의사 결정 과정과 그 결과를 이해할 수 있는 능력을 기르기 위해 설정된 것이다. 사적 이익을 추구하는 개인의 경제적 행동이 ‘보이지 않는 손’에 의해 일반적으로 사회 구성원 모두에게 유익한 결과를 가져오지만, 시장 실패와 같이 사회적으로는 바람직하지 않은 결과를 초래할 수 있다는 것을 이해한다.</t>
  </si>
  <si>
    <t>[12인경01-02]</t>
  </si>
  <si>
    <t>실생활에서 나타나는 비합리적 의사 결정의 사례를 통해 그 유형과 심리적⋅인지적 요인을 분석한다.</t>
  </si>
  <si>
    <t>[12인경01-03]</t>
  </si>
  <si>
    <t>합리성을 추구하지만 공정성도 고려하는 의사 결정 과정을 실생활 사례를 통해 이해한다.</t>
  </si>
  <si>
    <t>은 합리성과 공정성을 모두 고려하는 개인의 의사 결정 과정을 이해할 수 있는 능력을 기르기 위해 설정된 것이다. 인간은 비용과 편익을 비교하여 합리적으로 선택하지만 공정성도 고려하여 의사를 결정한다는 것을 실생활의 사례에 적용하여 이해한다.</t>
  </si>
  <si>
    <t>[12인경02-01]</t>
  </si>
  <si>
    <t>다양한 정보를 활용하여 취업 및 창업 등 자신에게 알맞은 직업을 탐색하고 그에 필요한 준비 과정을 설계한다.</t>
  </si>
  <si>
    <t>[12인경02-02]</t>
  </si>
  <si>
    <t>직업 세계에서 발생하는 노동 문제를 분석하고 이를 해결할 수 있는 방안을 탐색한다.</t>
  </si>
  <si>
    <t>는 직업 세계에서 비정규직 노동자, 외국인 노동자, 최저 임금제, 중대 재해 등과 같은 노동 문제를 실제 사례를 통해 파악할 수 있는 능력을 기르기 위해 설정된 것이다. 여기서는 노동 문제의 원인을 분석하고 노동 인권의 시각에서 노동 문제를 해결할 수 있는 방안을 탐색하는 데 초점을 맞춘다.</t>
  </si>
  <si>
    <t>[12인경02-03]</t>
  </si>
  <si>
    <t>혁신적 변화를 추구하는 기업가 정신의 의미를 실생활 사례를 통해 탐구한다.</t>
  </si>
  <si>
    <t>[12인경03-01]</t>
  </si>
  <si>
    <t>다양한 소득 분배 이론을 실생활 사례에 적용하여 공정한 소득 분배의 원리를 이해한다.</t>
  </si>
  <si>
    <t>은 다양한 소득 분배 이론에 대한 이해를 통해 공정한 소득 분배 정책을 모색할 수 있는 능력을 기르기 위해 설정된 것이다. 다양한 소득 분배 이론을 실생활 사례에 적용하여 각각의 이론에 따라 나타나는 소득 분배 결과를 비교하여 소득 격차를 완화하기 위한 공정한 소득 분배 정책을 모색한다. 소득 분배 이론에 대한 깊은 이해보다는 실생활의 사례를 통해 공정한 소득 분배의 원리를 이해할 수 있도록 한다.</t>
  </si>
  <si>
    <t>[12인경03-02]</t>
  </si>
  <si>
    <t>자유 경쟁을 특징으로 하는 시장 경제와의 비교를 통해 자발적인 참여와 협동을 추구하는 사회적 경제의 의미를 탐구한다.</t>
  </si>
  <si>
    <t>는 자발적인 참여와 협동을 추구하는 경제 공동체의 구체적인 사례를 통해 사회적 경제의 의미와 유형을 이해할 수 있는 능력을 기르기 위해 설정된 것이다. 사적 영리 기업과 사회적 기업의 특징을 비교⋅분석하여 사회적 경제를 구성하는 핵심 원리를 이해한다.</t>
  </si>
  <si>
    <t>[12인경03-03]</t>
  </si>
  <si>
    <t>지식 정보 사회에서 정보 기술의 급격한 발전으로 형성되는 디지털 경제의 특징을 실생활 사례를 통해 분석한다.</t>
  </si>
  <si>
    <t>[12인경04-01]</t>
  </si>
  <si>
    <t>4차 산업 혁명에 따른 새로운 산업 질서와 일자리 변화를 예측하고 미래 사회의 변화에 대응하는 방안을 탐색한다.</t>
  </si>
  <si>
    <t>은 4차 산업 혁명에 따른 기술 발전과 경제 변화 추세가 새로운 산업 질서를 형성하고 일자리 변화를 촉진한다는 것을 이해할 수 있는 능력을 기르기 위해 설정된 것이다. 인공지능의 등장과 기술 혁신에 따른 4차 산업 혁명이 가져올 미래 사회의 변화에 대해 긍정적인 측면과 부정적인 측면을 일자리 변화를 중심으로 평가하도록 한다.</t>
  </si>
  <si>
    <t>[12인경04-02]</t>
  </si>
  <si>
    <t>저출산⋅고령화에 따른 인구 변화가 경제 성장과 국가 재정 등에 미치는 영향을 분석한다.</t>
  </si>
  <si>
    <t>[12인경04-03]</t>
  </si>
  <si>
    <t>탄소 배출을 둘러싼 선진국과 개발 도상국의 경제 정책을 비교⋅평가하여 기후변화에 대응하여 지속가능한 발전을 이룰 수 있는 방안을 탐색한다.</t>
  </si>
  <si>
    <t>은 기후변화를 초래하는 온실가스 배출 감축에 대한 관심과 노력을 통해 지속 가능한 발전이 이루어진다는 것을 이해할 수 있는 능력을 기르기 위해 설정된 것이다. 기후변화에 대응하기 위한 선진국과 개발 도상국의 경제 정책을 다룬 언론 기사, 연구 자료 등을 활용하여 탄소 배출과 관련한 각국의 입장을 비교하여 객관적으로 평가하도록 한다.</t>
  </si>
  <si>
    <t>[12논술01-01]</t>
  </si>
  <si>
    <t>논술은 지식의 수용과 전달 및 합리적 설득을 위한 의사소통 방법임을 이해하고, 합리적 설득과 비합리적 설득의 차이를 비교⋅탐색한다.</t>
  </si>
  <si>
    <t>[12논술01-02]</t>
  </si>
  <si>
    <t>비판적 사고의 의미와 필요성을 이해하고 논술이 비판적 사고에 기반한 글쓰기임을 인식한다.</t>
  </si>
  <si>
    <t>[12논술01-03]</t>
  </si>
  <si>
    <t>자료 활용 방법과 글쓰기 윤리를 이해하고 글쓰기에 적용한다.</t>
  </si>
  <si>
    <t>[12논술02-01]</t>
  </si>
  <si>
    <t>텍스트 분석 및 요약의 필요성을 이해하고, 텍스트의 유형별 차이를 비교⋅탐색한다.</t>
  </si>
  <si>
    <t>문자 텍스트와 비문자 텍스트(통계표와 그래프, 그림, 동영상 등), 논증적 텍스트와 비논증적 텍스트의 차이점을 이해하고 구체적인 사례를 통해 구분한다.</t>
  </si>
  <si>
    <t>[12논술02-02]</t>
  </si>
  <si>
    <t>텍스트 유형별 분석 방법을 이해하고 분석에 적용한다.</t>
  </si>
  <si>
    <t>논증적 텍스트의 경우 쟁점, 결론, 근거를 중심으로 분석하여 요약한다.</t>
  </si>
  <si>
    <t>[12논술02-03]</t>
  </si>
  <si>
    <t>텍스트에 대한 분석 결과 및 요약의 일반 규칙을 적용하여 텍스트의 유형에 맞는 요약문을 작성한다.</t>
  </si>
  <si>
    <t>요약의 일반 규칙에는 삭제, 선택, 일반화, 재구성이 있다.</t>
  </si>
  <si>
    <t>[12논술03-01]</t>
  </si>
  <si>
    <t>논증적 텍스트 평가의 의미와 필요성을 이해하고, 필수 평가 요소와 일반 평가 요소의 차이를 비교⋅탐색한다.</t>
  </si>
  <si>
    <t>평가는 비판적 사고의 핵심이며 논증적 텍스트에 대한 평가에서 필수 평가 요소에는 분명함, 명료함, 정확성, 적절성 등이 있고, 일반 평가 요소에는 중요성, 일관성, 충분성, 공정성, 다각성, 심층성, 독창성 등이 있다.</t>
  </si>
  <si>
    <t>[12논술03-02]</t>
  </si>
  <si>
    <t>필수 평가 요소와 일반 평가 요소를 적용하여 논증적 텍스트를 평가한다.</t>
  </si>
  <si>
    <t>[12논술03-03]</t>
  </si>
  <si>
    <t>평가 내용을 중심으로 평가문을 작성한다.</t>
  </si>
  <si>
    <t>[12논술04-01]</t>
  </si>
  <si>
    <t>주장하는 글쓰기의 의미와 작성 시 주의 사항을 이해하고, 자신의 견해를 논리적이고 체계적으로 밝히는 글쓰기의 필요성을 인식한다.</t>
  </si>
  <si>
    <t>주장하는 글쓰기는 문제 해결이나 의사 결정을 위한 글쓰기이며, 적절한 근거⋅증거에 기초하여 체계적이고 논리적으로 작성할 때 좋은 글이 됨을 인식한다.</t>
  </si>
  <si>
    <t>[12논술04-02]</t>
  </si>
  <si>
    <t>합리적 설득의 의미와 필요성을 이해하고, 다양한 자료와 정보를 활용하여 적절한 근거를 제시하며 주장의 정당성을 입증하는 글을 작성한다.</t>
  </si>
  <si>
    <t>논제를 설정하고 논제에 대한 기존의 다양한 견해들을 살펴본 후 논제에 대한 자신의 입장과 주장을 정한 다음 신뢰성 있는 자료를 선택하고 정리하여 자신이 제시하고자 하는 해결책 또는 견해를 정당화하기 위한 근거로 활용한다.</t>
  </si>
  <si>
    <t>[12논술04-03]</t>
  </si>
  <si>
    <t>퇴고⋅수정하는 방법에 대한 이해를 바탕으로 글의 구성이나 내용을 정확하고 치밀하게 검토하며 글을 완성한다.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</si>
</sst>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문제&quot;"/>
  </numFmts>
  <fonts count="11">
    <font>
      <sz val="11"/>
      <color theme="1"/>
      <name val="맑은 고딕"/>
      <family val="2"/>
      <charset val="129"/>
    </font>
    <font>
      <sz val="11"/>
      <color theme="1"/>
      <name val="Noto Sans CJK SC"/>
      <family val="2"/>
      <charset val="1"/>
    </font>
    <font>
      <b/>
      <sz val="11"/>
      <color theme="1"/>
      <name val="Noto Sans CJK SC"/>
      <family val="2"/>
      <charset val="1"/>
    </font>
    <font>
      <b/>
      <sz val="11"/>
      <color theme="1"/>
      <name val="맑은 고딕"/>
      <family val="3"/>
      <charset val="129"/>
    </font>
    <font>
      <b/>
      <sz val="12"/>
      <name val="Noto Sans CJK SC"/>
      <family val="2"/>
      <charset val="1"/>
    </font>
    <font>
      <b/>
      <sz val="11"/>
      <name val="맑은 고딕"/>
      <family val="3"/>
      <charset val="129"/>
    </font>
    <font>
      <sz val="11"/>
      <color rgb="FF636363"/>
      <name val="Noto Sans CJK SC"/>
      <family val="2"/>
      <charset val="1"/>
    </font>
    <font>
      <sz val="11"/>
      <name val="Noto Sans CJK SC"/>
      <family val="2"/>
      <charset val="1"/>
    </font>
    <font>
      <sz val="11"/>
      <name val="맑은 고딕"/>
      <family val="3"/>
      <charset val="129"/>
    </font>
    <font>
      <sz val="11"/>
      <color rgb="FF636363"/>
      <name val="맑은 고딕"/>
      <family val="3"/>
      <charset val="129"/>
    </font>
    <font>
      <sz val="8"/>
      <name val="맑은 고딕"/>
      <family val="2"/>
      <charset val="129"/>
    </font>
  </fonts>
  <fills count="13">
    <fill>
      <patternFill patternType="none"/>
    </fill>
    <fill>
      <patternFill patternType="gray125"/>
    </fill>
    <fill>
      <patternFill patternType="solid">
        <fgColor theme="0" tint="-0.499984740745262"/>
        <bgColor rgb="FF636363"/>
      </patternFill>
    </fill>
    <fill>
      <patternFill patternType="solid">
        <fgColor theme="0"/>
        <bgColor rgb="FFFFF2CC"/>
      </patternFill>
    </fill>
    <fill>
      <patternFill patternType="solid">
        <fgColor theme="8" tint="0.79989013336588644"/>
        <bgColor rgb="FFDAE3F3"/>
      </patternFill>
    </fill>
    <fill>
      <patternFill patternType="solid">
        <fgColor theme="4" tint="0.79989013336588644"/>
        <bgColor rgb="FFDEEBF7"/>
      </patternFill>
    </fill>
    <fill>
      <patternFill patternType="solid">
        <fgColor theme="9" tint="0.79989013336588644"/>
        <bgColor rgb="FFDEEBF7"/>
      </patternFill>
    </fill>
    <fill>
      <patternFill patternType="solid">
        <fgColor theme="7" tint="0.79989013336588644"/>
        <bgColor rgb="FFFBE5D6"/>
      </patternFill>
    </fill>
    <fill>
      <patternFill patternType="solid">
        <fgColor theme="5" tint="0.79989013336588644"/>
        <bgColor rgb="FFFFF2CC"/>
      </patternFill>
    </fill>
    <fill>
      <patternFill patternType="solid">
        <fgColor theme="9" tint="0.59987182226020086"/>
        <bgColor rgb="FFD9D9D9"/>
      </patternFill>
    </fill>
    <fill>
      <patternFill patternType="solid">
        <fgColor theme="5" tint="0.59987182226020086"/>
        <bgColor rgb="FFFFC7CE"/>
      </patternFill>
    </fill>
    <fill>
      <patternFill patternType="solid">
        <fgColor theme="8" tint="0.59987182226020086"/>
        <bgColor rgb="FFD9D9D9"/>
      </patternFill>
    </fill>
    <fill>
      <patternFill patternType="solid">
        <fgColor theme="0" tint="-0.34998626667073579"/>
        <bgColor rgb="FF9999FF"/>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alignment vertical="center"/>
    </xf>
  </cellStyleXfs>
  <cellXfs count="78">
    <xf numFmtId="0" fontId="0" fillId="0" borderId="0" xfId="0" applyAlignment="1">
      <alignment vertical="center"/>
    </xf>
    <xf numFmtId="0" fontId="0" fillId="0" borderId="0" xfId="0" applyAlignment="1"/>
    <xf numFmtId="0" fontId="0" fillId="0" borderId="0" xfId="0" applyAlignment="1">
      <alignment vertical="center" wrapText="1"/>
    </xf>
    <xf numFmtId="0" fontId="0" fillId="2" borderId="0" xfId="0" applyFill="1" applyAlignment="1">
      <alignment vertical="center"/>
    </xf>
    <xf numFmtId="0" fontId="0" fillId="2" borderId="1" xfId="0" applyFill="1" applyBorder="1" applyAlignment="1">
      <alignment vertical="center"/>
    </xf>
    <xf numFmtId="0" fontId="0" fillId="3" borderId="2" xfId="0" applyFill="1" applyBorder="1" applyAlignment="1" applyProtection="1">
      <alignment horizontal="right" vertical="center"/>
      <protection locked="0"/>
    </xf>
    <xf numFmtId="0" fontId="1" fillId="4" borderId="3" xfId="0" applyFont="1"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3" borderId="7" xfId="0" applyFill="1" applyBorder="1" applyAlignment="1" applyProtection="1">
      <alignment horizontal="right" vertical="center"/>
      <protection locked="0"/>
    </xf>
    <xf numFmtId="0" fontId="1" fillId="4" borderId="8" xfId="0" applyFont="1" applyFill="1" applyBorder="1" applyAlignment="1">
      <alignment vertical="center"/>
    </xf>
    <xf numFmtId="0" fontId="0" fillId="3" borderId="4" xfId="0" applyFill="1" applyBorder="1" applyAlignment="1">
      <alignment horizontal="center" vertical="center"/>
    </xf>
    <xf numFmtId="176" fontId="0" fillId="3" borderId="0" xfId="0" applyNumberFormat="1" applyFill="1" applyAlignment="1">
      <alignment vertical="center"/>
    </xf>
    <xf numFmtId="0" fontId="0" fillId="0" borderId="10" xfId="0" applyBorder="1" applyAlignment="1">
      <alignment vertical="center"/>
    </xf>
    <xf numFmtId="0" fontId="1" fillId="6" borderId="11" xfId="0" applyFont="1" applyFill="1" applyBorder="1" applyAlignment="1">
      <alignment horizontal="center" vertical="center"/>
    </xf>
    <xf numFmtId="0" fontId="1" fillId="6" borderId="12" xfId="0" applyFont="1" applyFill="1" applyBorder="1" applyAlignment="1">
      <alignment horizontal="center" vertical="center"/>
    </xf>
    <xf numFmtId="0" fontId="1" fillId="7" borderId="13" xfId="0" applyFont="1" applyFill="1" applyBorder="1" applyAlignment="1">
      <alignment horizontal="center" vertical="center"/>
    </xf>
    <xf numFmtId="176" fontId="0" fillId="0" borderId="14" xfId="0" applyNumberFormat="1" applyBorder="1" applyAlignment="1" applyProtection="1">
      <alignment horizontal="center" vertical="center"/>
      <protection locked="0"/>
    </xf>
    <xf numFmtId="176" fontId="0" fillId="0" borderId="15" xfId="0" applyNumberFormat="1" applyBorder="1" applyAlignment="1" applyProtection="1">
      <alignment horizontal="center" vertical="center"/>
      <protection locked="0"/>
    </xf>
    <xf numFmtId="0" fontId="0" fillId="0" borderId="16" xfId="0" applyBorder="1" applyAlignment="1">
      <alignment horizontal="center" vertical="center"/>
    </xf>
    <xf numFmtId="0" fontId="1" fillId="7" borderId="17" xfId="0" applyFont="1" applyFill="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0" fontId="1" fillId="8" borderId="7" xfId="0" applyFont="1" applyFill="1" applyBorder="1" applyAlignment="1">
      <alignment horizontal="center" vertical="center"/>
    </xf>
    <xf numFmtId="176" fontId="0" fillId="3" borderId="8" xfId="0" applyNumberFormat="1" applyFill="1" applyBorder="1" applyAlignment="1">
      <alignment horizontal="center" vertical="center"/>
    </xf>
    <xf numFmtId="0" fontId="1" fillId="8" borderId="20" xfId="0" applyFont="1" applyFill="1" applyBorder="1" applyAlignment="1">
      <alignment horizontal="center" vertical="center"/>
    </xf>
    <xf numFmtId="0" fontId="0" fillId="3" borderId="7" xfId="0" applyFill="1" applyBorder="1" applyAlignment="1">
      <alignment horizontal="center" vertical="center"/>
    </xf>
    <xf numFmtId="176" fontId="0" fillId="3" borderId="20" xfId="0" applyNumberFormat="1" applyFill="1" applyBorder="1" applyAlignment="1">
      <alignment vertical="center"/>
    </xf>
    <xf numFmtId="0" fontId="1" fillId="2" borderId="0" xfId="0" applyFont="1" applyFill="1" applyAlignment="1">
      <alignment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3" fillId="10" borderId="1" xfId="0" applyFont="1" applyFill="1" applyBorder="1" applyAlignment="1">
      <alignment horizontal="center" vertical="center"/>
    </xf>
    <xf numFmtId="0" fontId="3" fillId="11" borderId="21" xfId="0" applyFont="1" applyFill="1" applyBorder="1" applyAlignment="1">
      <alignment horizontal="center" vertical="center"/>
    </xf>
    <xf numFmtId="49" fontId="0" fillId="0" borderId="9" xfId="0" applyNumberFormat="1" applyBorder="1" applyAlignment="1" applyProtection="1">
      <alignment horizontal="center" vertical="center"/>
      <protection locked="0"/>
    </xf>
    <xf numFmtId="0" fontId="1" fillId="0" borderId="9" xfId="0" applyFont="1" applyBorder="1" applyAlignment="1">
      <alignment horizontal="left" vertical="top" wrapText="1"/>
    </xf>
    <xf numFmtId="0" fontId="1" fillId="0" borderId="9" xfId="0" applyFont="1" applyBorder="1" applyAlignment="1">
      <alignment vertical="top" wrapText="1"/>
    </xf>
    <xf numFmtId="0" fontId="1" fillId="0" borderId="4"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 fillId="0" borderId="22" xfId="0" applyFont="1" applyBorder="1" applyAlignment="1" applyProtection="1">
      <alignment horizontal="left" vertical="top" wrapText="1"/>
      <protection locked="0"/>
    </xf>
    <xf numFmtId="0" fontId="1" fillId="0" borderId="9" xfId="0" applyFont="1" applyBorder="1" applyAlignment="1" applyProtection="1">
      <alignment vertical="top" wrapText="1"/>
      <protection locked="0"/>
    </xf>
    <xf numFmtId="0" fontId="0" fillId="0" borderId="9" xfId="0" applyBorder="1" applyAlignment="1" applyProtection="1">
      <alignment vertical="top" wrapText="1"/>
      <protection locked="0"/>
    </xf>
    <xf numFmtId="0" fontId="3" fillId="11" borderId="1" xfId="0" applyFont="1" applyFill="1" applyBorder="1" applyAlignment="1">
      <alignment horizontal="center" vertical="center"/>
    </xf>
    <xf numFmtId="49" fontId="0" fillId="0" borderId="6" xfId="0" applyNumberFormat="1" applyBorder="1" applyAlignment="1" applyProtection="1">
      <alignment horizontal="center" vertical="center"/>
      <protection locked="0"/>
    </xf>
    <xf numFmtId="0" fontId="1" fillId="0" borderId="16" xfId="0" applyFont="1" applyBorder="1" applyAlignment="1">
      <alignment vertical="top" wrapText="1"/>
    </xf>
    <xf numFmtId="0" fontId="1" fillId="0" borderId="23"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protection locked="0"/>
    </xf>
    <xf numFmtId="0" fontId="0" fillId="0" borderId="16" xfId="0" applyBorder="1" applyAlignment="1" applyProtection="1">
      <alignment horizontal="center" vertical="center"/>
      <protection locked="0"/>
    </xf>
    <xf numFmtId="0" fontId="1" fillId="0" borderId="16" xfId="0" applyFont="1" applyBorder="1" applyAlignment="1" applyProtection="1">
      <alignment vertical="top" wrapText="1"/>
      <protection locked="0"/>
    </xf>
    <xf numFmtId="0" fontId="0" fillId="0" borderId="16" xfId="0" applyBorder="1" applyAlignment="1" applyProtection="1">
      <alignment vertical="top" wrapText="1"/>
      <protection locked="0"/>
    </xf>
    <xf numFmtId="0" fontId="0" fillId="0" borderId="24" xfId="0" applyBorder="1" applyAlignment="1" applyProtection="1">
      <alignment horizontal="center" vertical="center" wrapText="1"/>
      <protection locked="0"/>
    </xf>
    <xf numFmtId="0" fontId="0" fillId="3" borderId="0" xfId="0" applyFill="1" applyAlignment="1">
      <alignment vertical="center"/>
    </xf>
    <xf numFmtId="0" fontId="0" fillId="3" borderId="0" xfId="0" applyFill="1" applyAlignment="1">
      <alignment vertical="center" wrapText="1"/>
    </xf>
    <xf numFmtId="0" fontId="0" fillId="2" borderId="0" xfId="0" applyFill="1" applyAlignment="1">
      <alignment vertical="center" wrapText="1"/>
    </xf>
    <xf numFmtId="0" fontId="0" fillId="12" borderId="0" xfId="0" applyFill="1" applyAlignment="1">
      <alignment vertical="center"/>
    </xf>
    <xf numFmtId="0" fontId="0" fillId="12" borderId="0" xfId="0" applyFill="1" applyAlignment="1">
      <alignment horizontal="center" vertical="center"/>
    </xf>
    <xf numFmtId="0" fontId="0" fillId="12" borderId="0" xfId="0" applyFill="1" applyAlignment="1">
      <alignment vertical="center" wrapText="1"/>
    </xf>
    <xf numFmtId="0" fontId="4" fillId="11" borderId="25" xfId="0" applyFont="1" applyFill="1" applyBorder="1" applyAlignment="1">
      <alignment horizontal="center" vertical="center"/>
    </xf>
    <xf numFmtId="0" fontId="4" fillId="11" borderId="26" xfId="0" applyFont="1" applyFill="1" applyBorder="1" applyAlignment="1">
      <alignment horizontal="center" vertical="center"/>
    </xf>
    <xf numFmtId="0" fontId="4" fillId="11" borderId="27" xfId="0" applyFont="1" applyFill="1" applyBorder="1" applyAlignment="1">
      <alignment horizontal="center" vertical="center"/>
    </xf>
    <xf numFmtId="0" fontId="0" fillId="9" borderId="28" xfId="0" applyFill="1" applyBorder="1" applyAlignment="1">
      <alignment vertical="center"/>
    </xf>
    <xf numFmtId="0" fontId="5" fillId="6" borderId="29" xfId="0" applyFont="1" applyFill="1" applyBorder="1" applyAlignment="1">
      <alignment horizontal="center" vertical="center"/>
    </xf>
    <xf numFmtId="0" fontId="6" fillId="4" borderId="29" xfId="0" applyFont="1" applyFill="1" applyBorder="1" applyAlignment="1">
      <alignment horizontal="left" vertical="center"/>
    </xf>
    <xf numFmtId="0" fontId="7" fillId="8" borderId="30" xfId="0" applyFont="1" applyFill="1" applyBorder="1" applyAlignment="1">
      <alignment vertical="center" wrapText="1"/>
    </xf>
    <xf numFmtId="0" fontId="8" fillId="8" borderId="30" xfId="0" applyFont="1" applyFill="1" applyBorder="1" applyAlignment="1">
      <alignment vertical="center" wrapText="1"/>
    </xf>
    <xf numFmtId="0" fontId="9" fillId="4" borderId="29" xfId="0" applyFont="1" applyFill="1" applyBorder="1" applyAlignment="1">
      <alignment horizontal="left" vertical="center"/>
    </xf>
    <xf numFmtId="0" fontId="1" fillId="0" borderId="1" xfId="0" applyFont="1" applyBorder="1" applyAlignment="1">
      <alignment horizontal="center" vertical="center"/>
    </xf>
    <xf numFmtId="0" fontId="0" fillId="0" borderId="32" xfId="0" applyBorder="1" applyAlignment="1"/>
    <xf numFmtId="0" fontId="0" fillId="0" borderId="33" xfId="0" applyBorder="1" applyAlignment="1"/>
    <xf numFmtId="0" fontId="1" fillId="4" borderId="2" xfId="0" applyFont="1" applyFill="1" applyBorder="1" applyAlignment="1">
      <alignment horizontal="center" vertical="center"/>
    </xf>
    <xf numFmtId="0" fontId="0" fillId="0" borderId="31" xfId="0" applyBorder="1" applyAlignment="1"/>
    <xf numFmtId="0" fontId="0" fillId="0" borderId="4" xfId="0" applyBorder="1" applyAlignment="1"/>
    <xf numFmtId="0" fontId="0" fillId="0" borderId="0" xfId="0" applyAlignment="1">
      <alignment vertical="center"/>
    </xf>
    <xf numFmtId="0" fontId="1" fillId="3" borderId="9" xfId="0" applyFont="1" applyFill="1" applyBorder="1" applyAlignment="1" applyProtection="1">
      <alignment horizontal="center" vertical="center"/>
      <protection locked="0"/>
    </xf>
    <xf numFmtId="0" fontId="0" fillId="0" borderId="9" xfId="0" applyBorder="1" applyAlignment="1" applyProtection="1">
      <protection locked="0"/>
    </xf>
    <xf numFmtId="0" fontId="0" fillId="3" borderId="16" xfId="0" applyFill="1" applyBorder="1" applyAlignment="1" applyProtection="1">
      <alignment horizontal="center" vertical="center"/>
      <protection locked="0"/>
    </xf>
    <xf numFmtId="0" fontId="1" fillId="5" borderId="6" xfId="0" applyFont="1" applyFill="1" applyBorder="1" applyAlignment="1">
      <alignment horizontal="center" vertical="center"/>
    </xf>
    <xf numFmtId="0" fontId="0" fillId="0" borderId="9" xfId="0" applyBorder="1" applyAlignment="1"/>
  </cellXfs>
  <cellStyles count="1">
    <cellStyle name="표준" xfId="0" builtinId="0"/>
  </cellStyles>
  <dxfs count="11">
    <dxf>
      <fill>
        <patternFill>
          <bgColor theme="5"/>
        </patternFill>
      </fill>
    </dxf>
    <dxf>
      <fill>
        <patternFill>
          <bgColor theme="4"/>
        </patternFill>
      </fill>
    </dxf>
    <dxf>
      <fill>
        <patternFill>
          <bgColor rgb="FF00B0F0"/>
        </patternFill>
      </fill>
    </dxf>
    <dxf>
      <fill>
        <patternFill>
          <bgColor rgb="FFFFC0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499984740745262"/>
        </patternFill>
      </fill>
    </dxf>
    <dxf>
      <font>
        <color rgb="FF9C0006"/>
      </font>
      <fill>
        <patternFill>
          <bgColor rgb="FFFFC7CE"/>
        </patternFill>
      </fill>
    </dxf>
    <dxf>
      <fill>
        <patternFill>
          <bgColor theme="0" tint="-0.1499984740745262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808080"/>
      <rgbColor rgb="FF9999FF"/>
      <rgbColor rgb="FF993366"/>
      <rgbColor rgb="FFFFF2CC"/>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B0F0"/>
      <rgbColor rgb="FFDAE3F3"/>
      <rgbColor rgb="FFE2F0D9"/>
      <rgbColor rgb="FFFBE5D6"/>
      <rgbColor rgb="FFC5E0B4"/>
      <rgbColor rgb="FFFFC7CE"/>
      <rgbColor rgb="FFCC99FF"/>
      <rgbColor rgb="FFF8CBAD"/>
      <rgbColor rgb="FF4472C4"/>
      <rgbColor rgb="FF33CCCC"/>
      <rgbColor rgb="FF99CC00"/>
      <rgbColor rgb="FFFFC000"/>
      <rgbColor rgb="FFFF9900"/>
      <rgbColor rgb="FFED7D31"/>
      <rgbColor rgb="FF636363"/>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성취기준" displayName="성취기준" ref="B2:E301" totalsRowShown="0">
  <autoFilter ref="B2:E301" xr:uid="{00000000-0009-0000-0100-000001000000}"/>
  <tableColumns count="4">
    <tableColumn id="1" xr3:uid="{00000000-0010-0000-0000-000001000000}" name="연번"/>
    <tableColumn id="2" xr3:uid="{00000000-0010-0000-0000-000002000000}" name="성취기준 코드"/>
    <tableColumn id="3" xr3:uid="{00000000-0010-0000-0000-000003000000}" name="성취기준명"/>
    <tableColumn id="4" xr3:uid="{00000000-0010-0000-0000-000004000000}" name="성취기준 해설"/>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78"/>
  <sheetViews>
    <sheetView tabSelected="1" zoomScaleNormal="100" workbookViewId="0">
      <pane xSplit="2" ySplit="10" topLeftCell="C11" activePane="bottomRight" state="frozen"/>
      <selection pane="topRight" activeCell="C1" sqref="C1"/>
      <selection pane="bottomLeft" activeCell="A33" sqref="A33"/>
      <selection pane="bottomRight" activeCell="I11" sqref="I11"/>
    </sheetView>
  </sheetViews>
  <sheetFormatPr defaultColWidth="8.5" defaultRowHeight="16.5"/>
  <cols>
    <col min="1" max="1" width="2.25" style="1" customWidth="1"/>
    <col min="2" max="2" width="5.5" style="1" customWidth="1"/>
    <col min="3" max="3" width="16" style="1" customWidth="1"/>
    <col min="4" max="4" width="24" style="1" customWidth="1"/>
    <col min="5" max="5" width="22.625" style="1" customWidth="1"/>
    <col min="9" max="9" width="28.125" style="2" customWidth="1"/>
    <col min="10" max="13" width="59.875" style="2" customWidth="1"/>
    <col min="14" max="14" width="69.125" style="2" customWidth="1"/>
    <col min="15" max="15" width="7" style="1" customWidth="1"/>
    <col min="16" max="16" width="10" style="1" customWidth="1"/>
    <col min="17" max="17" width="11" style="1" customWidth="1"/>
    <col min="18" max="18" width="9" style="1" customWidth="1"/>
  </cols>
  <sheetData>
    <row r="1" spans="1:54" ht="17.25" customHeight="1">
      <c r="A1" s="3"/>
      <c r="B1" s="3"/>
      <c r="C1" s="3"/>
      <c r="D1" s="3"/>
      <c r="E1" s="4"/>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row>
    <row r="2" spans="1:54" ht="16.5" customHeight="1">
      <c r="A2" s="3"/>
      <c r="B2" s="3"/>
      <c r="C2" s="5">
        <v>2026</v>
      </c>
      <c r="D2" s="6" t="s">
        <v>0</v>
      </c>
      <c r="E2" s="7"/>
      <c r="F2" s="8"/>
      <c r="G2" s="69" t="s">
        <v>1</v>
      </c>
      <c r="H2" s="70"/>
      <c r="I2" s="76" t="s">
        <v>2</v>
      </c>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row>
    <row r="3" spans="1:54" ht="17.25" customHeight="1">
      <c r="A3" s="3"/>
      <c r="B3" s="3"/>
      <c r="C3" s="9">
        <v>3</v>
      </c>
      <c r="D3" s="10" t="s">
        <v>3</v>
      </c>
      <c r="E3" s="3"/>
      <c r="F3" s="8"/>
      <c r="G3" s="71"/>
      <c r="H3" s="72"/>
      <c r="I3" s="77"/>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row>
    <row r="4" spans="1:54" ht="17.25" customHeight="1">
      <c r="A4" s="3"/>
      <c r="B4" s="3"/>
      <c r="C4" s="66" t="s">
        <v>4</v>
      </c>
      <c r="D4" s="67"/>
      <c r="E4" s="67"/>
      <c r="F4" s="68"/>
      <c r="G4" s="11" t="s">
        <v>5</v>
      </c>
      <c r="H4" s="12">
        <f>COUNTIF($H$11:$H$1048576,1)</f>
        <v>0</v>
      </c>
      <c r="I4" s="73" t="s">
        <v>6</v>
      </c>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row>
    <row r="5" spans="1:54" ht="16.5" customHeight="1">
      <c r="A5" s="3"/>
      <c r="B5" s="3"/>
      <c r="C5" s="13"/>
      <c r="D5" s="14" t="s">
        <v>7</v>
      </c>
      <c r="E5" s="14" t="s">
        <v>8</v>
      </c>
      <c r="F5" s="15" t="s">
        <v>9</v>
      </c>
      <c r="G5" s="11" t="s">
        <v>10</v>
      </c>
      <c r="H5" s="12">
        <f>COUNTIF($H$11:$H$1048576,2)</f>
        <v>0</v>
      </c>
      <c r="I5" s="74"/>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row>
    <row r="6" spans="1:54" ht="16.5" customHeight="1">
      <c r="A6" s="3"/>
      <c r="B6" s="3"/>
      <c r="C6" s="16" t="s">
        <v>11</v>
      </c>
      <c r="D6" s="17">
        <v>8</v>
      </c>
      <c r="E6" s="17">
        <v>8</v>
      </c>
      <c r="F6" s="18">
        <v>8</v>
      </c>
      <c r="G6" s="11" t="s">
        <v>12</v>
      </c>
      <c r="H6" s="12">
        <f>COUNTIF($H$11:$H$1048576,3)</f>
        <v>0</v>
      </c>
      <c r="I6" s="19" t="s">
        <v>13</v>
      </c>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row>
    <row r="7" spans="1:54" ht="17.25" customHeight="1">
      <c r="A7" s="3"/>
      <c r="B7" s="3"/>
      <c r="C7" s="20" t="s">
        <v>14</v>
      </c>
      <c r="D7" s="21">
        <f>COUNTIF($F$11:$F$1048576,"상")</f>
        <v>0</v>
      </c>
      <c r="E7" s="21">
        <f>COUNTIF($F$11:$F$1048576,"중")</f>
        <v>0</v>
      </c>
      <c r="F7" s="22">
        <f>COUNTIF($F$11:$F$1048576,"하")</f>
        <v>0</v>
      </c>
      <c r="G7" s="11" t="s">
        <v>15</v>
      </c>
      <c r="H7" s="12">
        <f>COUNTIF($H$11:$H$1048576,4)</f>
        <v>0</v>
      </c>
      <c r="I7" s="75"/>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row>
    <row r="8" spans="1:54" ht="17.25" customHeight="1">
      <c r="A8" s="3"/>
      <c r="B8" s="3"/>
      <c r="C8" s="23" t="s">
        <v>16</v>
      </c>
      <c r="D8" s="24">
        <f>D6+E6+F6</f>
        <v>24</v>
      </c>
      <c r="E8" s="25" t="s">
        <v>14</v>
      </c>
      <c r="F8" s="24">
        <f>D7+E7+F7</f>
        <v>0</v>
      </c>
      <c r="G8" s="26" t="s">
        <v>17</v>
      </c>
      <c r="H8" s="27">
        <f>COUNTIF($H$11:$H$1048576,5)</f>
        <v>0</v>
      </c>
      <c r="I8" s="74"/>
      <c r="J8" s="3"/>
      <c r="K8" s="3"/>
      <c r="L8" s="3"/>
      <c r="M8" s="3"/>
      <c r="N8" s="28" t="s">
        <v>18</v>
      </c>
      <c r="O8" s="3">
        <f>SUM(O11:O34)</f>
        <v>99.999999999999972</v>
      </c>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row>
    <row r="9" spans="1:54" ht="17.2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row>
    <row r="10" spans="1:54" ht="17.25" customHeight="1">
      <c r="A10" s="3"/>
      <c r="B10" s="29" t="s">
        <v>19</v>
      </c>
      <c r="C10" s="29" t="s">
        <v>20</v>
      </c>
      <c r="D10" s="29" t="s">
        <v>21</v>
      </c>
      <c r="E10" s="29" t="s">
        <v>22</v>
      </c>
      <c r="F10" s="29" t="s">
        <v>11</v>
      </c>
      <c r="G10" s="30" t="s">
        <v>23</v>
      </c>
      <c r="H10" s="30" t="s">
        <v>24</v>
      </c>
      <c r="I10" s="30" t="s">
        <v>25</v>
      </c>
      <c r="J10" s="31" t="s">
        <v>26</v>
      </c>
      <c r="K10" s="31" t="s">
        <v>27</v>
      </c>
      <c r="L10" s="31" t="s">
        <v>28</v>
      </c>
      <c r="M10" s="31" t="s">
        <v>29</v>
      </c>
      <c r="N10" s="31" t="s">
        <v>30</v>
      </c>
      <c r="O10" s="30" t="s">
        <v>31</v>
      </c>
      <c r="P10" s="30" t="s">
        <v>32</v>
      </c>
      <c r="Q10" s="30" t="s">
        <v>33</v>
      </c>
      <c r="R10" s="30" t="s">
        <v>34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row>
    <row r="11" spans="1:54" ht="162" customHeight="1">
      <c r="A11" s="3"/>
      <c r="B11" s="32">
        <v>1</v>
      </c>
      <c r="C11" s="33"/>
      <c r="D11" s="34" t="e">
        <f>IF(VLOOKUP(C11,'성취기준(22개정)'!$C$3:$E$507,2,0)=0,"",VLOOKUP(C11,'성취기준(22개정)'!$C$3:$E$507,2,0))</f>
        <v>#N/A</v>
      </c>
      <c r="E11" s="35" t="e">
        <f>IF(VLOOKUP(C11,'성취기준(22개정)'!$C$3:$E$507,3,0)=0,"",VLOOKUP(C11,'성취기준(22개정)'!$C$3:$E$507,3,0))</f>
        <v>#N/A</v>
      </c>
      <c r="F11" s="36"/>
      <c r="G11" s="37"/>
      <c r="H11" s="38"/>
      <c r="I11" s="39"/>
      <c r="J11" s="40"/>
      <c r="K11" s="41"/>
      <c r="L11" s="40"/>
      <c r="M11" s="40"/>
      <c r="N11" s="40"/>
      <c r="O11" s="38">
        <v>3.2</v>
      </c>
      <c r="P11" s="38"/>
      <c r="Q11" s="38"/>
      <c r="R11" s="38"/>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row>
    <row r="12" spans="1:54" ht="162" customHeight="1">
      <c r="A12" s="3"/>
      <c r="B12" s="42">
        <v>2</v>
      </c>
      <c r="C12" s="43"/>
      <c r="D12" s="44" t="e">
        <f>IF(VLOOKUP(C12,'성취기준(22개정)'!$C$3:$E$507,2,0)=0,"",VLOOKUP(C12,'성취기준(22개정)'!$C$3:$E$507,2,0))</f>
        <v>#N/A</v>
      </c>
      <c r="E12" s="44" t="e">
        <f>IF(VLOOKUP(C12,'성취기준(22개정)'!$C$3:$E$507,3,0)=0,"",VLOOKUP(C12,'성취기준(22개정)'!$C$3:$E$507,3,0))</f>
        <v>#N/A</v>
      </c>
      <c r="F12" s="45"/>
      <c r="G12" s="46"/>
      <c r="H12" s="47"/>
      <c r="I12" s="48"/>
      <c r="J12" s="48"/>
      <c r="K12" s="48"/>
      <c r="L12" s="49"/>
      <c r="M12" s="48"/>
      <c r="N12" s="49"/>
      <c r="O12" s="38">
        <v>3.3</v>
      </c>
      <c r="P12" s="38"/>
      <c r="Q12" s="38"/>
      <c r="R12" s="3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row>
    <row r="13" spans="1:54" ht="162" customHeight="1">
      <c r="A13" s="3"/>
      <c r="B13" s="42">
        <v>3</v>
      </c>
      <c r="C13" s="43"/>
      <c r="D13" s="44" t="e">
        <f>IF(VLOOKUP(C13,'성취기준(22개정)'!$C$3:$E$507,2,0)=0,"",VLOOKUP(C13,'성취기준(22개정)'!$C$3:$E$507,2,0))</f>
        <v>#N/A</v>
      </c>
      <c r="E13" s="44" t="e">
        <f>IF(VLOOKUP(C13,'성취기준(22개정)'!$C$3:$E$507,3,0)=0,"",VLOOKUP(C13,'성취기준(22개정)'!$C$3:$E$507,3,0))</f>
        <v>#N/A</v>
      </c>
      <c r="F13" s="45"/>
      <c r="G13" s="46"/>
      <c r="H13" s="47"/>
      <c r="I13" s="48"/>
      <c r="J13" s="48"/>
      <c r="K13" s="49"/>
      <c r="L13" s="48"/>
      <c r="M13" s="48"/>
      <c r="N13" s="48"/>
      <c r="O13" s="38">
        <v>3.4</v>
      </c>
      <c r="P13" s="38"/>
      <c r="Q13" s="38"/>
      <c r="R13" s="38"/>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row>
    <row r="14" spans="1:54" ht="162" customHeight="1">
      <c r="A14" s="3"/>
      <c r="B14" s="42">
        <v>4</v>
      </c>
      <c r="C14" s="43"/>
      <c r="D14" s="44" t="e">
        <f>IF(VLOOKUP(C14,'성취기준(22개정)'!$C$3:$E$507,2,0)=0,"",VLOOKUP(C14,'성취기준(22개정)'!$C$3:$E$507,2,0))</f>
        <v>#N/A</v>
      </c>
      <c r="E14" s="44" t="e">
        <f>IF(VLOOKUP(C14,'성취기준(22개정)'!$C$3:$E$507,3,0)=0,"",VLOOKUP(C14,'성취기준(22개정)'!$C$3:$E$507,3,0))</f>
        <v>#N/A</v>
      </c>
      <c r="F14" s="45"/>
      <c r="G14" s="46"/>
      <c r="H14" s="47"/>
      <c r="I14" s="48"/>
      <c r="J14" s="48"/>
      <c r="K14" s="49"/>
      <c r="L14" s="48"/>
      <c r="M14" s="48"/>
      <c r="N14" s="48"/>
      <c r="O14" s="38">
        <v>3.5</v>
      </c>
      <c r="P14" s="38"/>
      <c r="Q14" s="38"/>
      <c r="R14" s="38"/>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row>
    <row r="15" spans="1:54" ht="162" customHeight="1">
      <c r="A15" s="3"/>
      <c r="B15" s="42">
        <v>5</v>
      </c>
      <c r="C15" s="43"/>
      <c r="D15" s="44" t="e">
        <f>IF(VLOOKUP(C15,'성취기준(22개정)'!$C$3:$E$507,2,0)=0,"",VLOOKUP(C15,'성취기준(22개정)'!$C$3:$E$507,2,0))</f>
        <v>#N/A</v>
      </c>
      <c r="E15" s="44" t="e">
        <f>IF(VLOOKUP(C15,'성취기준(22개정)'!$C$3:$E$507,3,0)=0,"",VLOOKUP(C15,'성취기준(22개정)'!$C$3:$E$507,3,0))</f>
        <v>#N/A</v>
      </c>
      <c r="F15" s="45"/>
      <c r="G15" s="46"/>
      <c r="H15" s="47"/>
      <c r="I15" s="48"/>
      <c r="J15" s="48"/>
      <c r="K15" s="49"/>
      <c r="L15" s="48"/>
      <c r="M15" s="48"/>
      <c r="N15" s="48"/>
      <c r="O15" s="38">
        <v>3.6</v>
      </c>
      <c r="P15" s="38"/>
      <c r="Q15" s="38"/>
      <c r="R15" s="38"/>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row>
    <row r="16" spans="1:54" ht="162" customHeight="1">
      <c r="A16" s="3"/>
      <c r="B16" s="42">
        <v>6</v>
      </c>
      <c r="C16" s="43"/>
      <c r="D16" s="44" t="e">
        <f>IF(VLOOKUP(C16,'성취기준(22개정)'!$C$3:$E$507,2,0)=0,"",VLOOKUP(C16,'성취기준(22개정)'!$C$3:$E$507,2,0))</f>
        <v>#N/A</v>
      </c>
      <c r="E16" s="44" t="e">
        <f>IF(VLOOKUP(C16,'성취기준(22개정)'!$C$3:$E$507,3,0)=0,"",VLOOKUP(C16,'성취기준(22개정)'!$C$3:$E$507,3,0))</f>
        <v>#N/A</v>
      </c>
      <c r="F16" s="45"/>
      <c r="G16" s="46"/>
      <c r="H16" s="47"/>
      <c r="I16" s="48"/>
      <c r="J16" s="48"/>
      <c r="K16" s="49"/>
      <c r="L16" s="48"/>
      <c r="M16" s="48"/>
      <c r="N16" s="48"/>
      <c r="O16" s="38">
        <v>3.6</v>
      </c>
      <c r="P16" s="38"/>
      <c r="Q16" s="38"/>
      <c r="R16" s="38"/>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62" customHeight="1">
      <c r="A17" s="3"/>
      <c r="B17" s="42">
        <v>7</v>
      </c>
      <c r="C17" s="43"/>
      <c r="D17" s="44" t="e">
        <f>IF(VLOOKUP(C17,'성취기준(22개정)'!$C$3:$E$507,2,0)=0,"",VLOOKUP(C17,'성취기준(22개정)'!$C$3:$E$507,2,0))</f>
        <v>#N/A</v>
      </c>
      <c r="E17" s="44" t="e">
        <f>IF(VLOOKUP(C17,'성취기준(22개정)'!$C$3:$E$507,3,0)=0,"",VLOOKUP(C17,'성취기준(22개정)'!$C$3:$E$507,3,0))</f>
        <v>#N/A</v>
      </c>
      <c r="F17" s="45"/>
      <c r="G17" s="46"/>
      <c r="H17" s="47"/>
      <c r="I17" s="48"/>
      <c r="J17" s="48"/>
      <c r="K17" s="49"/>
      <c r="L17" s="48"/>
      <c r="M17" s="48"/>
      <c r="N17" s="48"/>
      <c r="O17" s="38">
        <v>3.7</v>
      </c>
      <c r="P17" s="38"/>
      <c r="Q17" s="38"/>
      <c r="R17" s="3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row>
    <row r="18" spans="1:54" ht="162" customHeight="1">
      <c r="A18" s="3"/>
      <c r="B18" s="42">
        <v>8</v>
      </c>
      <c r="C18" s="43"/>
      <c r="D18" s="44" t="e">
        <f>IF(VLOOKUP(C18,'성취기준(22개정)'!$C$3:$E$507,2,0)=0,"",VLOOKUP(C18,'성취기준(22개정)'!$C$3:$E$507,2,0))</f>
        <v>#N/A</v>
      </c>
      <c r="E18" s="44" t="e">
        <f>IF(VLOOKUP(C18,'성취기준(22개정)'!$C$3:$E$507,3,0)=0,"",VLOOKUP(C18,'성취기준(22개정)'!$C$3:$E$507,3,0))</f>
        <v>#N/A</v>
      </c>
      <c r="F18" s="45"/>
      <c r="G18" s="46"/>
      <c r="H18" s="47"/>
      <c r="I18" s="48"/>
      <c r="J18" s="48"/>
      <c r="K18" s="48"/>
      <c r="L18" s="48"/>
      <c r="M18" s="48"/>
      <c r="N18" s="48"/>
      <c r="O18" s="38">
        <v>3.8</v>
      </c>
      <c r="P18" s="38"/>
      <c r="Q18" s="38"/>
      <c r="R18" s="3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row>
    <row r="19" spans="1:54" ht="162" customHeight="1">
      <c r="A19" s="3"/>
      <c r="B19" s="42">
        <v>9</v>
      </c>
      <c r="C19" s="43"/>
      <c r="D19" s="44" t="e">
        <f>IF(VLOOKUP(C19,'성취기준(22개정)'!$C$3:$E$507,2,0)=0,"",VLOOKUP(C19,'성취기준(22개정)'!$C$3:$E$507,2,0))</f>
        <v>#N/A</v>
      </c>
      <c r="E19" s="44" t="e">
        <f>IF(VLOOKUP(C19,'성취기준(22개정)'!$C$3:$E$507,3,0)=0,"",VLOOKUP(C19,'성취기준(22개정)'!$C$3:$E$507,3,0))</f>
        <v>#N/A</v>
      </c>
      <c r="F19" s="45"/>
      <c r="G19" s="46"/>
      <c r="H19" s="47"/>
      <c r="I19" s="48"/>
      <c r="J19" s="48"/>
      <c r="K19" s="49"/>
      <c r="L19" s="48"/>
      <c r="M19" s="48"/>
      <c r="N19" s="48"/>
      <c r="O19" s="38">
        <v>3.9</v>
      </c>
      <c r="P19" s="38"/>
      <c r="Q19" s="38"/>
      <c r="R19" s="3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row>
    <row r="20" spans="1:54" ht="162" customHeight="1">
      <c r="A20" s="3"/>
      <c r="B20" s="42">
        <v>10</v>
      </c>
      <c r="C20" s="43"/>
      <c r="D20" s="44" t="e">
        <f>IF(VLOOKUP(C20,'성취기준(22개정)'!$C$3:$E$507,2,0)=0,"",VLOOKUP(C20,'성취기준(22개정)'!$C$3:$E$507,2,0))</f>
        <v>#N/A</v>
      </c>
      <c r="E20" s="44" t="e">
        <f>IF(VLOOKUP(C20,'성취기준(22개정)'!$C$3:$E$507,3,0)=0,"",VLOOKUP(C20,'성취기준(22개정)'!$C$3:$E$507,3,0))</f>
        <v>#N/A</v>
      </c>
      <c r="F20" s="45"/>
      <c r="G20" s="46"/>
      <c r="H20" s="47"/>
      <c r="I20" s="48"/>
      <c r="J20" s="48"/>
      <c r="K20" s="48"/>
      <c r="L20" s="49"/>
      <c r="M20" s="48"/>
      <c r="N20" s="49"/>
      <c r="O20" s="38">
        <v>4</v>
      </c>
      <c r="P20" s="38"/>
      <c r="Q20" s="38"/>
      <c r="R20" s="38"/>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row>
    <row r="21" spans="1:54" ht="162" customHeight="1">
      <c r="A21" s="3"/>
      <c r="B21" s="42">
        <v>11</v>
      </c>
      <c r="C21" s="43"/>
      <c r="D21" s="44" t="e">
        <f>IF(VLOOKUP(C21,'성취기준(22개정)'!$C$3:$E$507,2,0)=0,"",VLOOKUP(C21,'성취기준(22개정)'!$C$3:$E$507,2,0))</f>
        <v>#N/A</v>
      </c>
      <c r="E21" s="44" t="e">
        <f>IF(VLOOKUP(C21,'성취기준(22개정)'!$C$3:$E$507,3,0)=0,"",VLOOKUP(C21,'성취기준(22개정)'!$C$3:$E$507,3,0))</f>
        <v>#N/A</v>
      </c>
      <c r="F21" s="45"/>
      <c r="G21" s="46"/>
      <c r="H21" s="47"/>
      <c r="I21" s="48"/>
      <c r="J21" s="48"/>
      <c r="K21" s="49"/>
      <c r="L21" s="48"/>
      <c r="M21" s="48"/>
      <c r="N21" s="48"/>
      <c r="O21" s="38">
        <v>4.0999999999999996</v>
      </c>
      <c r="P21" s="38"/>
      <c r="Q21" s="38"/>
      <c r="R21" s="38"/>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row>
    <row r="22" spans="1:54" ht="162" customHeight="1">
      <c r="A22" s="3"/>
      <c r="B22" s="42">
        <v>12</v>
      </c>
      <c r="C22" s="43"/>
      <c r="D22" s="44" t="e">
        <f>IF(VLOOKUP(C22,'성취기준(22개정)'!$C$3:$E$507,2,0)=0,"",VLOOKUP(C22,'성취기준(22개정)'!$C$3:$E$507,2,0))</f>
        <v>#N/A</v>
      </c>
      <c r="E22" s="44" t="e">
        <f>IF(VLOOKUP(C22,'성취기준(22개정)'!$C$3:$E$507,3,0)=0,"",VLOOKUP(C22,'성취기준(22개정)'!$C$3:$E$507,3,0))</f>
        <v>#N/A</v>
      </c>
      <c r="F22" s="45"/>
      <c r="G22" s="46"/>
      <c r="H22" s="47"/>
      <c r="I22" s="48"/>
      <c r="J22" s="48"/>
      <c r="K22" s="48"/>
      <c r="L22" s="48"/>
      <c r="M22" s="48"/>
      <c r="N22" s="48"/>
      <c r="O22" s="38">
        <v>4.2</v>
      </c>
      <c r="P22" s="38"/>
      <c r="Q22" s="38"/>
      <c r="R22" s="3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row>
    <row r="23" spans="1:54" ht="162" customHeight="1">
      <c r="A23" s="3"/>
      <c r="B23" s="42">
        <v>13</v>
      </c>
      <c r="C23" s="43"/>
      <c r="D23" s="44" t="e">
        <f>IF(VLOOKUP(C23,'성취기준(22개정)'!$C$3:$E$507,2,0)=0,"",VLOOKUP(C23,'성취기준(22개정)'!$C$3:$E$507,2,0))</f>
        <v>#N/A</v>
      </c>
      <c r="E23" s="44" t="e">
        <f>IF(VLOOKUP(C23,'성취기준(22개정)'!$C$3:$E$507,3,0)=0,"",VLOOKUP(C23,'성취기준(22개정)'!$C$3:$E$507,3,0))</f>
        <v>#N/A</v>
      </c>
      <c r="F23" s="45"/>
      <c r="G23" s="46"/>
      <c r="H23" s="47"/>
      <c r="I23" s="48"/>
      <c r="J23" s="48"/>
      <c r="K23" s="49"/>
      <c r="L23" s="48"/>
      <c r="M23" s="48"/>
      <c r="N23" s="48"/>
      <c r="O23" s="38">
        <v>4.2</v>
      </c>
      <c r="P23" s="38"/>
      <c r="Q23" s="38"/>
      <c r="R23" s="38"/>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spans="1:54" ht="162" customHeight="1">
      <c r="A24" s="3"/>
      <c r="B24" s="42">
        <v>14</v>
      </c>
      <c r="C24" s="43"/>
      <c r="D24" s="44" t="e">
        <f>IF(VLOOKUP(C24,'성취기준(22개정)'!$C$3:$E$507,2,0)=0,"",VLOOKUP(C24,'성취기준(22개정)'!$C$3:$E$507,2,0))</f>
        <v>#N/A</v>
      </c>
      <c r="E24" s="44" t="e">
        <f>IF(VLOOKUP(C24,'성취기준(22개정)'!$C$3:$E$507,3,0)=0,"",VLOOKUP(C24,'성취기준(22개정)'!$C$3:$E$507,3,0))</f>
        <v>#N/A</v>
      </c>
      <c r="F24" s="45"/>
      <c r="G24" s="46"/>
      <c r="H24" s="47"/>
      <c r="I24" s="48"/>
      <c r="J24" s="48"/>
      <c r="K24" s="49"/>
      <c r="L24" s="48"/>
      <c r="M24" s="48"/>
      <c r="N24" s="49"/>
      <c r="O24" s="38">
        <v>4.3</v>
      </c>
      <c r="P24" s="38"/>
      <c r="Q24" s="38"/>
      <c r="R24" s="38"/>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row>
    <row r="25" spans="1:54" ht="162" customHeight="1">
      <c r="A25" s="3"/>
      <c r="B25" s="42">
        <v>15</v>
      </c>
      <c r="C25" s="43"/>
      <c r="D25" s="44" t="e">
        <f>IF(VLOOKUP(C25,'성취기준(22개정)'!$C$3:$E$507,2,0)=0,"",VLOOKUP(C25,'성취기준(22개정)'!$C$3:$E$507,2,0))</f>
        <v>#N/A</v>
      </c>
      <c r="E25" s="44" t="e">
        <f>IF(VLOOKUP(C25,'성취기준(22개정)'!$C$3:$E$507,3,0)=0,"",VLOOKUP(C25,'성취기준(22개정)'!$C$3:$E$507,3,0))</f>
        <v>#N/A</v>
      </c>
      <c r="F25" s="45"/>
      <c r="G25" s="46"/>
      <c r="H25" s="47"/>
      <c r="I25" s="48"/>
      <c r="J25" s="48"/>
      <c r="K25" s="49"/>
      <c r="L25" s="48"/>
      <c r="M25" s="48"/>
      <c r="N25" s="48"/>
      <c r="O25" s="38">
        <v>4.4000000000000004</v>
      </c>
      <c r="P25" s="38"/>
      <c r="Q25" s="38"/>
      <c r="R25" s="38"/>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row>
    <row r="26" spans="1:54" ht="162" customHeight="1">
      <c r="A26" s="3"/>
      <c r="B26" s="42">
        <v>16</v>
      </c>
      <c r="C26" s="43"/>
      <c r="D26" s="44" t="e">
        <f>IF(VLOOKUP(C26,'성취기준(22개정)'!$C$3:$E$507,2,0)=0,"",VLOOKUP(C26,'성취기준(22개정)'!$C$3:$E$507,2,0))</f>
        <v>#N/A</v>
      </c>
      <c r="E26" s="44" t="e">
        <f>IF(VLOOKUP(C26,'성취기준(22개정)'!$C$3:$E$507,3,0)=0,"",VLOOKUP(C26,'성취기준(22개정)'!$C$3:$E$507,3,0))</f>
        <v>#N/A</v>
      </c>
      <c r="F26" s="45"/>
      <c r="G26" s="46"/>
      <c r="H26" s="47"/>
      <c r="I26" s="48"/>
      <c r="J26" s="48"/>
      <c r="K26" s="49"/>
      <c r="L26" s="48"/>
      <c r="M26" s="48"/>
      <c r="N26" s="48"/>
      <c r="O26" s="38">
        <v>4.4000000000000004</v>
      </c>
      <c r="P26" s="38"/>
      <c r="Q26" s="38"/>
      <c r="R26" s="38"/>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row>
    <row r="27" spans="1:54" ht="162" customHeight="1">
      <c r="A27" s="3"/>
      <c r="B27" s="42">
        <v>17</v>
      </c>
      <c r="C27" s="43"/>
      <c r="D27" s="44" t="e">
        <f>IF(VLOOKUP(C27,'성취기준(22개정)'!$C$3:$E$507,2,0)=0,"",VLOOKUP(C27,'성취기준(22개정)'!$C$3:$E$507,2,0))</f>
        <v>#N/A</v>
      </c>
      <c r="E27" s="44" t="e">
        <f>IF(VLOOKUP(C27,'성취기준(22개정)'!$C$3:$E$507,3,0)=0,"",VLOOKUP(C27,'성취기준(22개정)'!$C$3:$E$507,3,0))</f>
        <v>#N/A</v>
      </c>
      <c r="F27" s="45"/>
      <c r="G27" s="46"/>
      <c r="H27" s="47"/>
      <c r="I27" s="48"/>
      <c r="J27" s="48"/>
      <c r="K27" s="48"/>
      <c r="L27" s="48"/>
      <c r="M27" s="48"/>
      <c r="N27" s="48"/>
      <c r="O27" s="38">
        <v>4.5</v>
      </c>
      <c r="P27" s="38"/>
      <c r="Q27" s="38"/>
      <c r="R27" s="38"/>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row>
    <row r="28" spans="1:54" ht="162" customHeight="1">
      <c r="A28" s="3"/>
      <c r="B28" s="42">
        <v>18</v>
      </c>
      <c r="C28" s="43"/>
      <c r="D28" s="44" t="e">
        <f>IF(VLOOKUP(C28,'성취기준(22개정)'!$C$3:$E$507,2,0)=0,"",VLOOKUP(C28,'성취기준(22개정)'!$C$3:$E$507,2,0))</f>
        <v>#N/A</v>
      </c>
      <c r="E28" s="44" t="e">
        <f>IF(VLOOKUP(C28,'성취기준(22개정)'!$C$3:$E$507,3,0)=0,"",VLOOKUP(C28,'성취기준(22개정)'!$C$3:$E$507,3,0))</f>
        <v>#N/A</v>
      </c>
      <c r="F28" s="45"/>
      <c r="G28" s="46"/>
      <c r="H28" s="47"/>
      <c r="I28" s="48"/>
      <c r="J28" s="48"/>
      <c r="K28" s="49"/>
      <c r="L28" s="48"/>
      <c r="M28" s="48"/>
      <c r="N28" s="48"/>
      <c r="O28" s="38">
        <v>4.5999999999999996</v>
      </c>
      <c r="P28" s="38"/>
      <c r="Q28" s="38"/>
      <c r="R28" s="38"/>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row>
    <row r="29" spans="1:54" ht="162" customHeight="1">
      <c r="A29" s="3"/>
      <c r="B29" s="42">
        <v>19</v>
      </c>
      <c r="C29" s="43"/>
      <c r="D29" s="44" t="e">
        <f>IF(VLOOKUP(C29,'성취기준(22개정)'!$C$3:$E$507,2,0)=0,"",VLOOKUP(C29,'성취기준(22개정)'!$C$3:$E$507,2,0))</f>
        <v>#N/A</v>
      </c>
      <c r="E29" s="44" t="e">
        <f>IF(VLOOKUP(C29,'성취기준(22개정)'!$C$3:$E$507,3,0)=0,"",VLOOKUP(C29,'성취기준(22개정)'!$C$3:$E$507,3,0))</f>
        <v>#N/A</v>
      </c>
      <c r="F29" s="45"/>
      <c r="G29" s="46"/>
      <c r="H29" s="47"/>
      <c r="I29" s="48"/>
      <c r="J29" s="48"/>
      <c r="K29" s="49"/>
      <c r="L29" s="48"/>
      <c r="M29" s="48"/>
      <c r="N29" s="48"/>
      <c r="O29" s="38">
        <v>4.5999999999999996</v>
      </c>
      <c r="P29" s="38"/>
      <c r="Q29" s="38"/>
      <c r="R29" s="38"/>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row>
    <row r="30" spans="1:54" ht="162" customHeight="1">
      <c r="A30" s="3"/>
      <c r="B30" s="42">
        <v>20</v>
      </c>
      <c r="C30" s="43"/>
      <c r="D30" s="44" t="e">
        <f>IF(VLOOKUP(C30,'성취기준(22개정)'!$C$3:$E$507,2,0)=0,"",VLOOKUP(C30,'성취기준(22개정)'!$C$3:$E$507,2,0))</f>
        <v>#N/A</v>
      </c>
      <c r="E30" s="44" t="e">
        <f>IF(VLOOKUP(C30,'성취기준(22개정)'!$C$3:$E$507,3,0)=0,"",VLOOKUP(C30,'성취기준(22개정)'!$C$3:$E$507,3,0))</f>
        <v>#N/A</v>
      </c>
      <c r="F30" s="45"/>
      <c r="G30" s="46"/>
      <c r="H30" s="47"/>
      <c r="I30" s="48"/>
      <c r="J30" s="48"/>
      <c r="K30" s="49"/>
      <c r="L30" s="48"/>
      <c r="M30" s="48"/>
      <c r="N30" s="48"/>
      <c r="O30" s="38">
        <v>4.7</v>
      </c>
      <c r="P30" s="38"/>
      <c r="Q30" s="38"/>
      <c r="R30" s="38"/>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row>
    <row r="31" spans="1:54" ht="162" customHeight="1">
      <c r="A31" s="3"/>
      <c r="B31" s="42">
        <v>21</v>
      </c>
      <c r="C31" s="43"/>
      <c r="D31" s="44" t="e">
        <f>IF(VLOOKUP(C31,'성취기준(22개정)'!$C$3:$E$507,2,0)=0,"",VLOOKUP(C31,'성취기준(22개정)'!$C$3:$E$507,2,0))</f>
        <v>#N/A</v>
      </c>
      <c r="E31" s="44" t="e">
        <f>IF(VLOOKUP(C31,'성취기준(22개정)'!$C$3:$E$507,3,0)=0,"",VLOOKUP(C31,'성취기준(22개정)'!$C$3:$E$507,3,0))</f>
        <v>#N/A</v>
      </c>
      <c r="F31" s="45"/>
      <c r="G31" s="46"/>
      <c r="H31" s="47"/>
      <c r="I31" s="48"/>
      <c r="J31" s="48"/>
      <c r="K31" s="49"/>
      <c r="L31" s="48"/>
      <c r="M31" s="48"/>
      <c r="N31" s="49"/>
      <c r="O31" s="38">
        <v>4.8</v>
      </c>
      <c r="P31" s="38"/>
      <c r="Q31" s="38"/>
      <c r="R31" s="38"/>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row>
    <row r="32" spans="1:54" ht="162" customHeight="1">
      <c r="A32" s="3"/>
      <c r="B32" s="42">
        <v>22</v>
      </c>
      <c r="C32" s="43"/>
      <c r="D32" s="44" t="e">
        <f>IF(VLOOKUP(C32,'성취기준(22개정)'!$C$3:$E$507,2,0)=0,"",VLOOKUP(C32,'성취기준(22개정)'!$C$3:$E$507,2,0))</f>
        <v>#N/A</v>
      </c>
      <c r="E32" s="44" t="e">
        <f>IF(VLOOKUP(C32,'성취기준(22개정)'!$C$3:$E$507,3,0)=0,"",VLOOKUP(C32,'성취기준(22개정)'!$C$3:$E$507,3,0))</f>
        <v>#N/A</v>
      </c>
      <c r="F32" s="45"/>
      <c r="G32" s="46"/>
      <c r="H32" s="47"/>
      <c r="I32" s="48"/>
      <c r="J32" s="48"/>
      <c r="K32" s="49"/>
      <c r="L32" s="48"/>
      <c r="M32" s="48"/>
      <c r="N32" s="48"/>
      <c r="O32" s="38">
        <v>5</v>
      </c>
      <c r="P32" s="38"/>
      <c r="Q32" s="38"/>
      <c r="R32" s="3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row>
    <row r="33" spans="1:54" ht="162" customHeight="1">
      <c r="A33" s="3"/>
      <c r="B33" s="42">
        <v>23</v>
      </c>
      <c r="C33" s="43"/>
      <c r="D33" s="44" t="e">
        <f>IF(VLOOKUP(C33,'성취기준(22개정)'!$C$3:$E$507,2,0)=0,"",VLOOKUP(C33,'성취기준(22개정)'!$C$3:$E$507,2,0))</f>
        <v>#N/A</v>
      </c>
      <c r="E33" s="44" t="e">
        <f>IF(VLOOKUP(C33,'성취기준(22개정)'!$C$3:$E$507,3,0)=0,"",VLOOKUP(C33,'성취기준(22개정)'!$C$3:$E$507,3,0))</f>
        <v>#N/A</v>
      </c>
      <c r="F33" s="45"/>
      <c r="G33" s="46"/>
      <c r="H33" s="47"/>
      <c r="I33" s="48"/>
      <c r="J33" s="48"/>
      <c r="K33" s="48"/>
      <c r="L33" s="48"/>
      <c r="M33" s="48"/>
      <c r="N33" s="48"/>
      <c r="O33" s="38">
        <v>5.0999999999999996</v>
      </c>
      <c r="P33" s="38"/>
      <c r="Q33" s="38"/>
      <c r="R33" s="3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row>
    <row r="34" spans="1:54" ht="162" customHeight="1">
      <c r="A34" s="3"/>
      <c r="B34" s="42">
        <v>24</v>
      </c>
      <c r="C34" s="43"/>
      <c r="D34" s="44" t="e">
        <f>IF(VLOOKUP(C34,'성취기준(22개정)'!$C$3:$E$507,2,0)=0,"",VLOOKUP(C34,'성취기준(22개정)'!$C$3:$E$507,2,0))</f>
        <v>#N/A</v>
      </c>
      <c r="E34" s="44" t="e">
        <f>IF(VLOOKUP(C34,'성취기준(22개정)'!$C$3:$E$507,3,0)=0,"",VLOOKUP(C34,'성취기준(22개정)'!$C$3:$E$507,3,0))</f>
        <v>#N/A</v>
      </c>
      <c r="F34" s="45"/>
      <c r="G34" s="46"/>
      <c r="H34" s="47"/>
      <c r="I34" s="48"/>
      <c r="J34" s="48"/>
      <c r="K34" s="49"/>
      <c r="L34" s="49"/>
      <c r="M34" s="48"/>
      <c r="N34" s="49"/>
      <c r="O34" s="38">
        <v>5.0999999999999996</v>
      </c>
      <c r="P34" s="38"/>
      <c r="Q34" s="38"/>
      <c r="R34" s="38"/>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row>
    <row r="35" spans="1:54" ht="162" customHeight="1">
      <c r="A35" s="3"/>
      <c r="B35" s="42">
        <v>25</v>
      </c>
      <c r="C35" s="43"/>
      <c r="D35" s="44" t="e">
        <f>IF(VLOOKUP(C35,'성취기준(22개정)'!$C$3:$E$507,2,0)=0,"",VLOOKUP(C35,'성취기준(22개정)'!$C$3:$E$507,2,0))</f>
        <v>#N/A</v>
      </c>
      <c r="E35" s="44" t="e">
        <f>IF(VLOOKUP(C35,'성취기준(22개정)'!$C$3:$E$507,3,0)=0,"",VLOOKUP(C35,'성취기준(22개정)'!$C$3:$E$507,3,0))</f>
        <v>#N/A</v>
      </c>
      <c r="F35" s="45"/>
      <c r="G35" s="46"/>
      <c r="H35" s="47"/>
      <c r="I35" s="49"/>
      <c r="J35" s="49"/>
      <c r="K35" s="49"/>
      <c r="L35" s="49"/>
      <c r="M35" s="49"/>
      <c r="N35" s="49"/>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row>
    <row r="36" spans="1:54" ht="162" customHeight="1">
      <c r="A36" s="3"/>
      <c r="B36" s="42">
        <v>26</v>
      </c>
      <c r="C36" s="43"/>
      <c r="D36" s="44" t="e">
        <f>IF(VLOOKUP(C36,'성취기준(22개정)'!$C$3:$E$507,2,0)=0,"",VLOOKUP(C36,'성취기준(22개정)'!$C$3:$E$507,2,0))</f>
        <v>#N/A</v>
      </c>
      <c r="E36" s="44" t="e">
        <f>IF(VLOOKUP(C36,'성취기준(22개정)'!$C$3:$E$507,3,0)=0,"",VLOOKUP(C36,'성취기준(22개정)'!$C$3:$E$507,3,0))</f>
        <v>#N/A</v>
      </c>
      <c r="F36" s="45"/>
      <c r="G36" s="46"/>
      <c r="H36" s="47"/>
      <c r="I36" s="49"/>
      <c r="J36" s="49"/>
      <c r="K36" s="49"/>
      <c r="L36" s="49"/>
      <c r="M36" s="49"/>
      <c r="N36" s="49"/>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row>
    <row r="37" spans="1:54" ht="162" customHeight="1">
      <c r="A37" s="3"/>
      <c r="B37" s="42">
        <v>27</v>
      </c>
      <c r="C37" s="43"/>
      <c r="D37" s="44" t="e">
        <f>IF(VLOOKUP(C37,'성취기준(22개정)'!$C$3:$E$507,2,0)=0,"",VLOOKUP(C37,'성취기준(22개정)'!$C$3:$E$507,2,0))</f>
        <v>#N/A</v>
      </c>
      <c r="E37" s="44" t="e">
        <f>IF(VLOOKUP(C37,'성취기준(22개정)'!$C$3:$E$507,3,0)=0,"",VLOOKUP(C37,'성취기준(22개정)'!$C$3:$E$507,3,0))</f>
        <v>#N/A</v>
      </c>
      <c r="F37" s="45"/>
      <c r="G37" s="46"/>
      <c r="H37" s="47"/>
      <c r="I37" s="49"/>
      <c r="J37" s="49"/>
      <c r="K37" s="49"/>
      <c r="L37" s="49"/>
      <c r="M37" s="49"/>
      <c r="N37" s="49"/>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row>
    <row r="38" spans="1:54" ht="162" customHeight="1">
      <c r="A38" s="3"/>
      <c r="B38" s="42">
        <v>28</v>
      </c>
      <c r="C38" s="43"/>
      <c r="D38" s="44" t="e">
        <f>IF(VLOOKUP(C38,'성취기준(22개정)'!$C$3:$E$507,2,0)=0,"",VLOOKUP(C38,'성취기준(22개정)'!$C$3:$E$507,2,0))</f>
        <v>#N/A</v>
      </c>
      <c r="E38" s="44" t="e">
        <f>IF(VLOOKUP(C38,'성취기준(22개정)'!$C$3:$E$507,3,0)=0,"",VLOOKUP(C38,'성취기준(22개정)'!$C$3:$E$507,3,0))</f>
        <v>#N/A</v>
      </c>
      <c r="F38" s="45"/>
      <c r="G38" s="46"/>
      <c r="H38" s="47"/>
      <c r="I38" s="49"/>
      <c r="J38" s="49"/>
      <c r="K38" s="49"/>
      <c r="L38" s="49"/>
      <c r="M38" s="49"/>
      <c r="N38" s="49"/>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row>
    <row r="39" spans="1:54" ht="162" customHeight="1">
      <c r="A39" s="3"/>
      <c r="B39" s="42">
        <v>29</v>
      </c>
      <c r="C39" s="43"/>
      <c r="D39" s="44" t="e">
        <f>IF(VLOOKUP(C39,'성취기준(22개정)'!$C$3:$E$507,2,0)=0,"",VLOOKUP(C39,'성취기준(22개정)'!$C$3:$E$507,2,0))</f>
        <v>#N/A</v>
      </c>
      <c r="E39" s="44" t="e">
        <f>IF(VLOOKUP(C39,'성취기준(22개정)'!$C$3:$E$507,3,0)=0,"",VLOOKUP(C39,'성취기준(22개정)'!$C$3:$E$507,3,0))</f>
        <v>#N/A</v>
      </c>
      <c r="F39" s="45"/>
      <c r="G39" s="46"/>
      <c r="H39" s="47"/>
      <c r="I39" s="49"/>
      <c r="J39" s="49"/>
      <c r="K39" s="49"/>
      <c r="L39" s="49"/>
      <c r="M39" s="49"/>
      <c r="N39" s="49"/>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row>
    <row r="40" spans="1:54" ht="162" customHeight="1">
      <c r="A40" s="3"/>
      <c r="B40" s="42">
        <v>30</v>
      </c>
      <c r="C40" s="43"/>
      <c r="D40" s="44" t="e">
        <f>IF(VLOOKUP(C40,'성취기준(22개정)'!$C$3:$E$507,2,0)=0,"",VLOOKUP(C40,'성취기준(22개정)'!$C$3:$E$507,2,0))</f>
        <v>#N/A</v>
      </c>
      <c r="E40" s="44" t="e">
        <f>IF(VLOOKUP(C40,'성취기준(22개정)'!$C$3:$E$507,3,0)=0,"",VLOOKUP(C40,'성취기준(22개정)'!$C$3:$E$507,3,0))</f>
        <v>#N/A</v>
      </c>
      <c r="F40" s="45"/>
      <c r="G40" s="46"/>
      <c r="H40" s="47"/>
      <c r="I40" s="49"/>
      <c r="J40" s="49"/>
      <c r="K40" s="49"/>
      <c r="L40" s="49"/>
      <c r="M40" s="49"/>
      <c r="N40" s="49"/>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row>
    <row r="41" spans="1:54" ht="162" customHeight="1">
      <c r="A41" s="3"/>
      <c r="B41" s="42">
        <v>31</v>
      </c>
      <c r="C41" s="43"/>
      <c r="D41" s="44" t="e">
        <f>IF(VLOOKUP(C41,'성취기준(22개정)'!$C$3:$E$507,2,0)=0,"",VLOOKUP(C41,'성취기준(22개정)'!$C$3:$E$507,2,0))</f>
        <v>#N/A</v>
      </c>
      <c r="E41" s="44" t="e">
        <f>IF(VLOOKUP(C41,'성취기준(22개정)'!$C$3:$E$507,3,0)=0,"",VLOOKUP(C41,'성취기준(22개정)'!$C$3:$E$507,3,0))</f>
        <v>#N/A</v>
      </c>
      <c r="F41" s="45"/>
      <c r="G41" s="46"/>
      <c r="H41" s="47"/>
      <c r="I41" s="49"/>
      <c r="J41" s="49"/>
      <c r="K41" s="49"/>
      <c r="L41" s="49"/>
      <c r="M41" s="49"/>
      <c r="N41" s="49"/>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row>
    <row r="42" spans="1:54" ht="162" customHeight="1">
      <c r="A42" s="3"/>
      <c r="B42" s="42">
        <v>32</v>
      </c>
      <c r="C42" s="43"/>
      <c r="D42" s="44" t="e">
        <f>IF(VLOOKUP(C42,'성취기준(22개정)'!$C$3:$E$507,2,0)=0,"",VLOOKUP(C42,'성취기준(22개정)'!$C$3:$E$507,2,0))</f>
        <v>#N/A</v>
      </c>
      <c r="E42" s="44" t="e">
        <f>IF(VLOOKUP(C42,'성취기준(22개정)'!$C$3:$E$507,3,0)=0,"",VLOOKUP(C42,'성취기준(22개정)'!$C$3:$E$507,3,0))</f>
        <v>#N/A</v>
      </c>
      <c r="F42" s="45"/>
      <c r="G42" s="46"/>
      <c r="H42" s="47"/>
      <c r="I42" s="49"/>
      <c r="J42" s="49"/>
      <c r="K42" s="49"/>
      <c r="L42" s="49"/>
      <c r="M42" s="49"/>
      <c r="N42" s="49"/>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row>
    <row r="43" spans="1:54" ht="162" customHeight="1">
      <c r="A43" s="3"/>
      <c r="B43" s="42">
        <v>33</v>
      </c>
      <c r="C43" s="43"/>
      <c r="D43" s="44" t="e">
        <f>IF(VLOOKUP(C43,'성취기준(22개정)'!$C$3:$E$507,2,0)=0,"",VLOOKUP(C43,'성취기준(22개정)'!$C$3:$E$507,2,0))</f>
        <v>#N/A</v>
      </c>
      <c r="E43" s="44" t="e">
        <f>IF(VLOOKUP(C43,'성취기준(22개정)'!$C$3:$E$507,3,0)=0,"",VLOOKUP(C43,'성취기준(22개정)'!$C$3:$E$507,3,0))</f>
        <v>#N/A</v>
      </c>
      <c r="F43" s="45"/>
      <c r="G43" s="46"/>
      <c r="H43" s="47"/>
      <c r="I43" s="49"/>
      <c r="J43" s="49"/>
      <c r="K43" s="49"/>
      <c r="L43" s="49"/>
      <c r="M43" s="49"/>
      <c r="N43" s="49"/>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row>
    <row r="44" spans="1:54" ht="162" customHeight="1">
      <c r="A44" s="3"/>
      <c r="B44" s="42">
        <v>34</v>
      </c>
      <c r="C44" s="43"/>
      <c r="D44" s="44" t="e">
        <f>IF(VLOOKUP(C44,'성취기준(22개정)'!$C$3:$E$507,2,0)=0,"",VLOOKUP(C44,'성취기준(22개정)'!$C$3:$E$507,2,0))</f>
        <v>#N/A</v>
      </c>
      <c r="E44" s="44" t="e">
        <f>IF(VLOOKUP(C44,'성취기준(22개정)'!$C$3:$E$507,3,0)=0,"",VLOOKUP(C44,'성취기준(22개정)'!$C$3:$E$507,3,0))</f>
        <v>#N/A</v>
      </c>
      <c r="F44" s="45"/>
      <c r="G44" s="46"/>
      <c r="H44" s="47"/>
      <c r="I44" s="49"/>
      <c r="J44" s="49"/>
      <c r="K44" s="49"/>
      <c r="L44" s="49"/>
      <c r="M44" s="49"/>
      <c r="N44" s="49"/>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spans="1:54" ht="162" customHeight="1">
      <c r="A45" s="3"/>
      <c r="B45" s="42">
        <v>35</v>
      </c>
      <c r="C45" s="43"/>
      <c r="D45" s="44" t="e">
        <f>IF(VLOOKUP(C45,'성취기준(22개정)'!$C$3:$E$507,2,0)=0,"",VLOOKUP(C45,'성취기준(22개정)'!$C$3:$E$507,2,0))</f>
        <v>#N/A</v>
      </c>
      <c r="E45" s="44" t="e">
        <f>IF(VLOOKUP(C45,'성취기준(22개정)'!$C$3:$E$507,3,0)=0,"",VLOOKUP(C45,'성취기준(22개정)'!$C$3:$E$507,3,0))</f>
        <v>#N/A</v>
      </c>
      <c r="F45" s="45"/>
      <c r="G45" s="46"/>
      <c r="H45" s="47"/>
      <c r="I45" s="49"/>
      <c r="J45" s="49"/>
      <c r="K45" s="49"/>
      <c r="L45" s="49"/>
      <c r="M45" s="49"/>
      <c r="N45" s="49"/>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row>
    <row r="46" spans="1:54" ht="162" customHeight="1">
      <c r="A46" s="3"/>
      <c r="B46" s="42">
        <v>36</v>
      </c>
      <c r="C46" s="43"/>
      <c r="D46" s="44" t="e">
        <f>IF(VLOOKUP(C46,'성취기준(22개정)'!$C$3:$E$507,2,0)=0,"",VLOOKUP(C46,'성취기준(22개정)'!$C$3:$E$507,2,0))</f>
        <v>#N/A</v>
      </c>
      <c r="E46" s="44" t="e">
        <f>IF(VLOOKUP(C46,'성취기준(22개정)'!$C$3:$E$507,3,0)=0,"",VLOOKUP(C46,'성취기준(22개정)'!$C$3:$E$507,3,0))</f>
        <v>#N/A</v>
      </c>
      <c r="F46" s="45"/>
      <c r="G46" s="46"/>
      <c r="H46" s="47"/>
      <c r="I46" s="49"/>
      <c r="J46" s="49"/>
      <c r="K46" s="49"/>
      <c r="L46" s="49"/>
      <c r="M46" s="49"/>
      <c r="N46" s="49"/>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row>
    <row r="47" spans="1:54" ht="162" customHeight="1">
      <c r="A47" s="3"/>
      <c r="B47" s="42">
        <v>37</v>
      </c>
      <c r="C47" s="43"/>
      <c r="D47" s="44" t="e">
        <f>IF(VLOOKUP(C47,'성취기준(22개정)'!$C$3:$E$507,2,0)=0,"",VLOOKUP(C47,'성취기준(22개정)'!$C$3:$E$507,2,0))</f>
        <v>#N/A</v>
      </c>
      <c r="E47" s="44" t="e">
        <f>IF(VLOOKUP(C47,'성취기준(22개정)'!$C$3:$E$507,3,0)=0,"",VLOOKUP(C47,'성취기준(22개정)'!$C$3:$E$507,3,0))</f>
        <v>#N/A</v>
      </c>
      <c r="F47" s="45"/>
      <c r="G47" s="46"/>
      <c r="H47" s="47"/>
      <c r="I47" s="49"/>
      <c r="J47" s="49"/>
      <c r="K47" s="49"/>
      <c r="L47" s="49"/>
      <c r="M47" s="49"/>
      <c r="N47" s="49"/>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row>
    <row r="48" spans="1:54" ht="162" customHeight="1">
      <c r="A48" s="3"/>
      <c r="B48" s="42">
        <v>38</v>
      </c>
      <c r="C48" s="43"/>
      <c r="D48" s="44" t="e">
        <f>IF(VLOOKUP(C48,'성취기준(22개정)'!$C$3:$E$507,2,0)=0,"",VLOOKUP(C48,'성취기준(22개정)'!$C$3:$E$507,2,0))</f>
        <v>#N/A</v>
      </c>
      <c r="E48" s="44" t="e">
        <f>IF(VLOOKUP(C48,'성취기준(22개정)'!$C$3:$E$507,3,0)=0,"",VLOOKUP(C48,'성취기준(22개정)'!$C$3:$E$507,3,0))</f>
        <v>#N/A</v>
      </c>
      <c r="F48" s="45"/>
      <c r="G48" s="46"/>
      <c r="H48" s="47"/>
      <c r="I48" s="49"/>
      <c r="J48" s="49"/>
      <c r="K48" s="49"/>
      <c r="L48" s="49"/>
      <c r="M48" s="49"/>
      <c r="N48" s="49"/>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row>
    <row r="49" spans="1:54" ht="162" customHeight="1">
      <c r="A49" s="3"/>
      <c r="B49" s="42">
        <v>39</v>
      </c>
      <c r="C49" s="43"/>
      <c r="D49" s="44" t="e">
        <f>IF(VLOOKUP(C49,'성취기준(22개정)'!$C$3:$E$507,2,0)=0,"",VLOOKUP(C49,'성취기준(22개정)'!$C$3:$E$507,2,0))</f>
        <v>#N/A</v>
      </c>
      <c r="E49" s="44" t="e">
        <f>IF(VLOOKUP(C49,'성취기준(22개정)'!$C$3:$E$507,3,0)=0,"",VLOOKUP(C49,'성취기준(22개정)'!$C$3:$E$507,3,0))</f>
        <v>#N/A</v>
      </c>
      <c r="F49" s="45"/>
      <c r="G49" s="46"/>
      <c r="H49" s="47"/>
      <c r="I49" s="49"/>
      <c r="J49" s="49"/>
      <c r="K49" s="49"/>
      <c r="L49" s="49"/>
      <c r="M49" s="49"/>
      <c r="N49" s="49"/>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row>
    <row r="50" spans="1:54" ht="162" customHeight="1">
      <c r="A50" s="3"/>
      <c r="B50" s="42">
        <v>40</v>
      </c>
      <c r="C50" s="43"/>
      <c r="D50" s="44" t="e">
        <f>IF(VLOOKUP(C50,'성취기준(22개정)'!$C$3:$E$507,2,0)=0,"",VLOOKUP(C50,'성취기준(22개정)'!$C$3:$E$507,2,0))</f>
        <v>#N/A</v>
      </c>
      <c r="E50" s="44" t="e">
        <f>IF(VLOOKUP(C50,'성취기준(22개정)'!$C$3:$E$507,3,0)=0,"",VLOOKUP(C50,'성취기준(22개정)'!$C$3:$E$507,3,0))</f>
        <v>#N/A</v>
      </c>
      <c r="F50" s="45"/>
      <c r="G50" s="46"/>
      <c r="H50" s="47"/>
      <c r="I50" s="49"/>
      <c r="J50" s="49"/>
      <c r="K50" s="49"/>
      <c r="L50" s="49"/>
      <c r="M50" s="49"/>
      <c r="N50" s="49"/>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row>
    <row r="51" spans="1:54" ht="162" customHeight="1">
      <c r="A51" s="3"/>
      <c r="B51" s="42">
        <v>41</v>
      </c>
      <c r="C51" s="43"/>
      <c r="D51" s="44" t="e">
        <f>IF(VLOOKUP(C51,'성취기준(22개정)'!$C$3:$E$507,2,0)=0,"",VLOOKUP(C51,'성취기준(22개정)'!$C$3:$E$507,2,0))</f>
        <v>#N/A</v>
      </c>
      <c r="E51" s="44" t="e">
        <f>IF(VLOOKUP(C51,'성취기준(22개정)'!$C$3:$E$507,3,0)=0,"",VLOOKUP(C51,'성취기준(22개정)'!$C$3:$E$507,3,0))</f>
        <v>#N/A</v>
      </c>
      <c r="F51" s="45"/>
      <c r="G51" s="46"/>
      <c r="H51" s="47"/>
      <c r="I51" s="49"/>
      <c r="J51" s="49"/>
      <c r="K51" s="49"/>
      <c r="L51" s="49"/>
      <c r="M51" s="49"/>
      <c r="N51" s="49"/>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row>
    <row r="52" spans="1:54" ht="162" customHeight="1">
      <c r="A52" s="3"/>
      <c r="B52" s="42">
        <v>42</v>
      </c>
      <c r="C52" s="43"/>
      <c r="D52" s="44" t="e">
        <f>IF(VLOOKUP(C52,'성취기준(22개정)'!$C$3:$E$507,2,0)=0,"",VLOOKUP(C52,'성취기준(22개정)'!$C$3:$E$507,2,0))</f>
        <v>#N/A</v>
      </c>
      <c r="E52" s="44" t="e">
        <f>IF(VLOOKUP(C52,'성취기준(22개정)'!$C$3:$E$507,3,0)=0,"",VLOOKUP(C52,'성취기준(22개정)'!$C$3:$E$507,3,0))</f>
        <v>#N/A</v>
      </c>
      <c r="F52" s="45"/>
      <c r="G52" s="46"/>
      <c r="H52" s="47"/>
      <c r="I52" s="49"/>
      <c r="J52" s="49"/>
      <c r="K52" s="49"/>
      <c r="L52" s="49"/>
      <c r="M52" s="49"/>
      <c r="N52" s="49"/>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spans="1:54" ht="162" customHeight="1">
      <c r="A53" s="3"/>
      <c r="B53" s="42">
        <v>43</v>
      </c>
      <c r="C53" s="43"/>
      <c r="D53" s="44" t="e">
        <f>IF(VLOOKUP(C53,'성취기준(22개정)'!$C$3:$E$507,2,0)=0,"",VLOOKUP(C53,'성취기준(22개정)'!$C$3:$E$507,2,0))</f>
        <v>#N/A</v>
      </c>
      <c r="E53" s="44" t="e">
        <f>IF(VLOOKUP(C53,'성취기준(22개정)'!$C$3:$E$507,3,0)=0,"",VLOOKUP(C53,'성취기준(22개정)'!$C$3:$E$507,3,0))</f>
        <v>#N/A</v>
      </c>
      <c r="F53" s="45"/>
      <c r="G53" s="46"/>
      <c r="H53" s="47"/>
      <c r="I53" s="49"/>
      <c r="J53" s="49"/>
      <c r="K53" s="49"/>
      <c r="L53" s="49"/>
      <c r="M53" s="49"/>
      <c r="N53" s="49"/>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spans="1:54" ht="162" customHeight="1">
      <c r="A54" s="3"/>
      <c r="B54" s="42">
        <v>44</v>
      </c>
      <c r="C54" s="43"/>
      <c r="D54" s="44" t="e">
        <f>IF(VLOOKUP(C54,'성취기준(22개정)'!$C$3:$E$507,2,0)=0,"",VLOOKUP(C54,'성취기준(22개정)'!$C$3:$E$507,2,0))</f>
        <v>#N/A</v>
      </c>
      <c r="E54" s="44" t="e">
        <f>IF(VLOOKUP(C54,'성취기준(22개정)'!$C$3:$E$507,3,0)=0,"",VLOOKUP(C54,'성취기준(22개정)'!$C$3:$E$507,3,0))</f>
        <v>#N/A</v>
      </c>
      <c r="F54" s="45"/>
      <c r="G54" s="46"/>
      <c r="H54" s="47"/>
      <c r="I54" s="49"/>
      <c r="J54" s="49"/>
      <c r="K54" s="49"/>
      <c r="L54" s="49"/>
      <c r="M54" s="49"/>
      <c r="N54" s="49"/>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row>
    <row r="55" spans="1:54" ht="162" customHeight="1">
      <c r="A55" s="3"/>
      <c r="B55" s="42">
        <v>45</v>
      </c>
      <c r="C55" s="43"/>
      <c r="D55" s="44" t="e">
        <f>IF(VLOOKUP(C55,'성취기준(22개정)'!$C$3:$E$507,2,0)=0,"",VLOOKUP(C55,'성취기준(22개정)'!$C$3:$E$507,2,0))</f>
        <v>#N/A</v>
      </c>
      <c r="E55" s="44" t="e">
        <f>IF(VLOOKUP(C55,'성취기준(22개정)'!$C$3:$E$507,3,0)=0,"",VLOOKUP(C55,'성취기준(22개정)'!$C$3:$E$507,3,0))</f>
        <v>#N/A</v>
      </c>
      <c r="F55" s="45"/>
      <c r="G55" s="46"/>
      <c r="H55" s="47"/>
      <c r="I55" s="49"/>
      <c r="J55" s="49"/>
      <c r="K55" s="49"/>
      <c r="L55" s="49"/>
      <c r="M55" s="49"/>
      <c r="N55" s="49"/>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row>
    <row r="56" spans="1:54" ht="162" customHeight="1">
      <c r="A56" s="3"/>
      <c r="B56" s="42">
        <v>46</v>
      </c>
      <c r="C56" s="43"/>
      <c r="D56" s="44" t="e">
        <f>IF(VLOOKUP(C56,'성취기준(22개정)'!$C$3:$E$507,2,0)=0,"",VLOOKUP(C56,'성취기준(22개정)'!$C$3:$E$507,2,0))</f>
        <v>#N/A</v>
      </c>
      <c r="E56" s="44" t="e">
        <f>IF(VLOOKUP(C56,'성취기준(22개정)'!$C$3:$E$507,3,0)=0,"",VLOOKUP(C56,'성취기준(22개정)'!$C$3:$E$507,3,0))</f>
        <v>#N/A</v>
      </c>
      <c r="F56" s="45"/>
      <c r="G56" s="46"/>
      <c r="H56" s="47"/>
      <c r="I56" s="49"/>
      <c r="J56" s="49"/>
      <c r="K56" s="49"/>
      <c r="L56" s="49"/>
      <c r="M56" s="49"/>
      <c r="N56" s="49"/>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row>
    <row r="57" spans="1:54" ht="162" customHeight="1">
      <c r="A57" s="3"/>
      <c r="B57" s="42">
        <v>47</v>
      </c>
      <c r="C57" s="43"/>
      <c r="D57" s="44" t="e">
        <f>IF(VLOOKUP(C57,'성취기준(22개정)'!$C$3:$E$507,2,0)=0,"",VLOOKUP(C57,'성취기준(22개정)'!$C$3:$E$507,2,0))</f>
        <v>#N/A</v>
      </c>
      <c r="E57" s="44" t="e">
        <f>IF(VLOOKUP(C57,'성취기준(22개정)'!$C$3:$E$507,3,0)=0,"",VLOOKUP(C57,'성취기준(22개정)'!$C$3:$E$507,3,0))</f>
        <v>#N/A</v>
      </c>
      <c r="F57" s="45"/>
      <c r="G57" s="46"/>
      <c r="H57" s="47"/>
      <c r="I57" s="49"/>
      <c r="J57" s="49"/>
      <c r="K57" s="49"/>
      <c r="L57" s="49"/>
      <c r="M57" s="49"/>
      <c r="N57" s="49"/>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row>
    <row r="58" spans="1:54" ht="162" customHeight="1">
      <c r="A58" s="3"/>
      <c r="B58" s="42">
        <v>48</v>
      </c>
      <c r="C58" s="43"/>
      <c r="D58" s="44" t="e">
        <f>IF(VLOOKUP(C58,'성취기준(22개정)'!$C$3:$E$507,2,0)=0,"",VLOOKUP(C58,'성취기준(22개정)'!$C$3:$E$507,2,0))</f>
        <v>#N/A</v>
      </c>
      <c r="E58" s="44" t="e">
        <f>IF(VLOOKUP(C58,'성취기준(22개정)'!$C$3:$E$507,3,0)=0,"",VLOOKUP(C58,'성취기준(22개정)'!$C$3:$E$507,3,0))</f>
        <v>#N/A</v>
      </c>
      <c r="F58" s="45"/>
      <c r="G58" s="46"/>
      <c r="H58" s="47"/>
      <c r="I58" s="49"/>
      <c r="J58" s="49"/>
      <c r="K58" s="49"/>
      <c r="L58" s="49"/>
      <c r="M58" s="49"/>
      <c r="N58" s="49"/>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row>
    <row r="59" spans="1:54" ht="162" customHeight="1">
      <c r="A59" s="3"/>
      <c r="B59" s="42">
        <v>49</v>
      </c>
      <c r="C59" s="43"/>
      <c r="D59" s="44" t="e">
        <f>IF(VLOOKUP(C59,'성취기준(22개정)'!$C$3:$E$507,2,0)=0,"",VLOOKUP(C59,'성취기준(22개정)'!$C$3:$E$507,2,0))</f>
        <v>#N/A</v>
      </c>
      <c r="E59" s="44" t="e">
        <f>IF(VLOOKUP(C59,'성취기준(22개정)'!$C$3:$E$507,3,0)=0,"",VLOOKUP(C59,'성취기준(22개정)'!$C$3:$E$507,3,0))</f>
        <v>#N/A</v>
      </c>
      <c r="F59" s="45"/>
      <c r="G59" s="46"/>
      <c r="H59" s="47"/>
      <c r="I59" s="49"/>
      <c r="J59" s="49"/>
      <c r="K59" s="49"/>
      <c r="L59" s="49"/>
      <c r="M59" s="49"/>
      <c r="N59" s="49"/>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row>
    <row r="60" spans="1:54" ht="162" customHeight="1">
      <c r="A60" s="3"/>
      <c r="B60" s="42">
        <v>50</v>
      </c>
      <c r="C60" s="43"/>
      <c r="D60" s="44" t="e">
        <f>IF(VLOOKUP(C60,'성취기준(22개정)'!$C$3:$E$507,2,0)=0,"",VLOOKUP(C60,'성취기준(22개정)'!$C$3:$E$507,2,0))</f>
        <v>#N/A</v>
      </c>
      <c r="E60" s="44" t="e">
        <f>IF(VLOOKUP(C60,'성취기준(22개정)'!$C$3:$E$507,3,0)=0,"",VLOOKUP(C60,'성취기준(22개정)'!$C$3:$E$507,3,0))</f>
        <v>#N/A</v>
      </c>
      <c r="F60" s="45"/>
      <c r="G60" s="46"/>
      <c r="H60" s="47"/>
      <c r="I60" s="49"/>
      <c r="J60" s="49"/>
      <c r="K60" s="49"/>
      <c r="L60" s="49"/>
      <c r="M60" s="49"/>
      <c r="N60" s="49"/>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row>
    <row r="61" spans="1:54" ht="162" customHeight="1">
      <c r="A61" s="3"/>
      <c r="B61" s="42">
        <v>51</v>
      </c>
      <c r="C61" s="43"/>
      <c r="D61" s="44" t="e">
        <f>IF(VLOOKUP(C61,'성취기준(22개정)'!$C$3:$E$507,2,0)=0,"",VLOOKUP(C61,'성취기준(22개정)'!$C$3:$E$507,2,0))</f>
        <v>#N/A</v>
      </c>
      <c r="E61" s="44" t="e">
        <f>IF(VLOOKUP(C61,'성취기준(22개정)'!$C$3:$E$507,3,0)=0,"",VLOOKUP(C61,'성취기준(22개정)'!$C$3:$E$507,3,0))</f>
        <v>#N/A</v>
      </c>
      <c r="F61" s="45"/>
      <c r="G61" s="46"/>
      <c r="H61" s="47"/>
      <c r="I61" s="49"/>
      <c r="J61" s="49"/>
      <c r="K61" s="49"/>
      <c r="L61" s="49"/>
      <c r="M61" s="49"/>
      <c r="N61" s="49"/>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row>
    <row r="62" spans="1:54" ht="162" customHeight="1">
      <c r="A62" s="3"/>
      <c r="B62" s="42">
        <v>52</v>
      </c>
      <c r="C62" s="43"/>
      <c r="D62" s="44" t="e">
        <f>IF(VLOOKUP(C62,'성취기준(22개정)'!$C$3:$E$507,2,0)=0,"",VLOOKUP(C62,'성취기준(22개정)'!$C$3:$E$507,2,0))</f>
        <v>#N/A</v>
      </c>
      <c r="E62" s="44" t="e">
        <f>IF(VLOOKUP(C62,'성취기준(22개정)'!$C$3:$E$507,3,0)=0,"",VLOOKUP(C62,'성취기준(22개정)'!$C$3:$E$507,3,0))</f>
        <v>#N/A</v>
      </c>
      <c r="F62" s="45"/>
      <c r="G62" s="46"/>
      <c r="H62" s="47"/>
      <c r="I62" s="49"/>
      <c r="J62" s="49"/>
      <c r="K62" s="49"/>
      <c r="L62" s="49"/>
      <c r="M62" s="49"/>
      <c r="N62" s="49"/>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row>
    <row r="63" spans="1:54" ht="162" customHeight="1">
      <c r="A63" s="3"/>
      <c r="B63" s="42">
        <v>53</v>
      </c>
      <c r="C63" s="43"/>
      <c r="D63" s="44" t="e">
        <f>IF(VLOOKUP(C63,'성취기준(22개정)'!$C$3:$E$507,2,0)=0,"",VLOOKUP(C63,'성취기준(22개정)'!$C$3:$E$507,2,0))</f>
        <v>#N/A</v>
      </c>
      <c r="E63" s="44" t="e">
        <f>IF(VLOOKUP(C63,'성취기준(22개정)'!$C$3:$E$507,3,0)=0,"",VLOOKUP(C63,'성취기준(22개정)'!$C$3:$E$507,3,0))</f>
        <v>#N/A</v>
      </c>
      <c r="F63" s="45"/>
      <c r="G63" s="46"/>
      <c r="H63" s="47"/>
      <c r="I63" s="49"/>
      <c r="J63" s="49"/>
      <c r="K63" s="49"/>
      <c r="L63" s="49"/>
      <c r="M63" s="49"/>
      <c r="N63" s="49"/>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row>
    <row r="64" spans="1:54" ht="162" customHeight="1">
      <c r="A64" s="3"/>
      <c r="B64" s="42">
        <v>54</v>
      </c>
      <c r="C64" s="43"/>
      <c r="D64" s="44" t="e">
        <f>IF(VLOOKUP(C64,'성취기준(22개정)'!$C$3:$E$507,2,0)=0,"",VLOOKUP(C64,'성취기준(22개정)'!$C$3:$E$507,2,0))</f>
        <v>#N/A</v>
      </c>
      <c r="E64" s="44" t="e">
        <f>IF(VLOOKUP(C64,'성취기준(22개정)'!$C$3:$E$507,3,0)=0,"",VLOOKUP(C64,'성취기준(22개정)'!$C$3:$E$507,3,0))</f>
        <v>#N/A</v>
      </c>
      <c r="F64" s="45"/>
      <c r="G64" s="46"/>
      <c r="H64" s="47"/>
      <c r="I64" s="49"/>
      <c r="J64" s="49"/>
      <c r="K64" s="49"/>
      <c r="L64" s="49"/>
      <c r="M64" s="49"/>
      <c r="N64" s="49"/>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row>
    <row r="65" spans="1:54" ht="162" customHeight="1">
      <c r="A65" s="3"/>
      <c r="B65" s="42">
        <v>55</v>
      </c>
      <c r="C65" s="43"/>
      <c r="D65" s="44" t="e">
        <f>IF(VLOOKUP(C65,'성취기준(22개정)'!$C$3:$E$507,2,0)=0,"",VLOOKUP(C65,'성취기준(22개정)'!$C$3:$E$507,2,0))</f>
        <v>#N/A</v>
      </c>
      <c r="E65" s="44" t="e">
        <f>IF(VLOOKUP(C65,'성취기준(22개정)'!$C$3:$E$507,3,0)=0,"",VLOOKUP(C65,'성취기준(22개정)'!$C$3:$E$507,3,0))</f>
        <v>#N/A</v>
      </c>
      <c r="F65" s="45"/>
      <c r="G65" s="46"/>
      <c r="H65" s="47"/>
      <c r="I65" s="49"/>
      <c r="J65" s="49"/>
      <c r="K65" s="49"/>
      <c r="L65" s="49"/>
      <c r="M65" s="49"/>
      <c r="N65" s="49"/>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row>
    <row r="66" spans="1:54" ht="162" customHeight="1">
      <c r="A66" s="3"/>
      <c r="B66" s="42">
        <v>56</v>
      </c>
      <c r="C66" s="43"/>
      <c r="D66" s="44" t="e">
        <f>IF(VLOOKUP(C66,'성취기준(22개정)'!$C$3:$E$507,2,0)=0,"",VLOOKUP(C66,'성취기준(22개정)'!$C$3:$E$507,2,0))</f>
        <v>#N/A</v>
      </c>
      <c r="E66" s="44" t="e">
        <f>IF(VLOOKUP(C66,'성취기준(22개정)'!$C$3:$E$507,3,0)=0,"",VLOOKUP(C66,'성취기준(22개정)'!$C$3:$E$507,3,0))</f>
        <v>#N/A</v>
      </c>
      <c r="F66" s="45"/>
      <c r="G66" s="46"/>
      <c r="H66" s="47"/>
      <c r="I66" s="49"/>
      <c r="J66" s="49"/>
      <c r="K66" s="49"/>
      <c r="L66" s="49"/>
      <c r="M66" s="49"/>
      <c r="N66" s="49"/>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row>
    <row r="67" spans="1:54" ht="162" customHeight="1">
      <c r="A67" s="3"/>
      <c r="B67" s="42">
        <v>57</v>
      </c>
      <c r="C67" s="43"/>
      <c r="D67" s="44" t="e">
        <f>IF(VLOOKUP(C67,'성취기준(22개정)'!$C$3:$E$507,2,0)=0,"",VLOOKUP(C67,'성취기준(22개정)'!$C$3:$E$507,2,0))</f>
        <v>#N/A</v>
      </c>
      <c r="E67" s="44" t="e">
        <f>IF(VLOOKUP(C67,'성취기준(22개정)'!$C$3:$E$507,3,0)=0,"",VLOOKUP(C67,'성취기준(22개정)'!$C$3:$E$507,3,0))</f>
        <v>#N/A</v>
      </c>
      <c r="F67" s="45"/>
      <c r="G67" s="46"/>
      <c r="H67" s="47"/>
      <c r="I67" s="49"/>
      <c r="J67" s="49"/>
      <c r="K67" s="49"/>
      <c r="L67" s="49"/>
      <c r="M67" s="49"/>
      <c r="N67" s="49"/>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row>
    <row r="68" spans="1:54" ht="162" customHeight="1">
      <c r="A68" s="3"/>
      <c r="B68" s="42">
        <v>58</v>
      </c>
      <c r="C68" s="43"/>
      <c r="D68" s="44" t="e">
        <f>IF(VLOOKUP(C68,'성취기준(22개정)'!$C$3:$E$507,2,0)=0,"",VLOOKUP(C68,'성취기준(22개정)'!$C$3:$E$507,2,0))</f>
        <v>#N/A</v>
      </c>
      <c r="E68" s="44" t="e">
        <f>IF(VLOOKUP(C68,'성취기준(22개정)'!$C$3:$E$507,3,0)=0,"",VLOOKUP(C68,'성취기준(22개정)'!$C$3:$E$507,3,0))</f>
        <v>#N/A</v>
      </c>
      <c r="F68" s="45"/>
      <c r="G68" s="46"/>
      <c r="H68" s="47"/>
      <c r="I68" s="49"/>
      <c r="J68" s="49"/>
      <c r="K68" s="49"/>
      <c r="L68" s="49"/>
      <c r="M68" s="49"/>
      <c r="N68" s="49"/>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row>
    <row r="69" spans="1:54" ht="162" customHeight="1">
      <c r="A69" s="3"/>
      <c r="B69" s="42">
        <v>59</v>
      </c>
      <c r="C69" s="43"/>
      <c r="D69" s="44" t="e">
        <f>IF(VLOOKUP(C69,'성취기준(22개정)'!$C$3:$E$507,2,0)=0,"",VLOOKUP(C69,'성취기준(22개정)'!$C$3:$E$507,2,0))</f>
        <v>#N/A</v>
      </c>
      <c r="E69" s="44" t="e">
        <f>IF(VLOOKUP(C69,'성취기준(22개정)'!$C$3:$E$507,3,0)=0,"",VLOOKUP(C69,'성취기준(22개정)'!$C$3:$E$507,3,0))</f>
        <v>#N/A</v>
      </c>
      <c r="F69" s="45"/>
      <c r="G69" s="46"/>
      <c r="H69" s="47"/>
      <c r="I69" s="49"/>
      <c r="J69" s="49"/>
      <c r="K69" s="49"/>
      <c r="L69" s="49"/>
      <c r="M69" s="49"/>
      <c r="N69" s="49"/>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row>
    <row r="70" spans="1:54" ht="162" customHeight="1">
      <c r="A70" s="3"/>
      <c r="B70" s="42">
        <v>60</v>
      </c>
      <c r="C70" s="43"/>
      <c r="D70" s="44" t="e">
        <f>IF(VLOOKUP(C70,'성취기준(22개정)'!$C$3:$E$507,2,0)=0,"",VLOOKUP(C70,'성취기준(22개정)'!$C$3:$E$507,2,0))</f>
        <v>#N/A</v>
      </c>
      <c r="E70" s="44" t="e">
        <f>IF(VLOOKUP(C70,'성취기준(22개정)'!$C$3:$E$507,3,0)=0,"",VLOOKUP(C70,'성취기준(22개정)'!$C$3:$E$507,3,0))</f>
        <v>#N/A</v>
      </c>
      <c r="F70" s="45"/>
      <c r="G70" s="46"/>
      <c r="H70" s="47"/>
      <c r="I70" s="49"/>
      <c r="J70" s="49"/>
      <c r="K70" s="49"/>
      <c r="L70" s="49"/>
      <c r="M70" s="49"/>
      <c r="N70" s="49"/>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row>
    <row r="71" spans="1:54" ht="162" customHeight="1">
      <c r="A71" s="3"/>
      <c r="B71" s="42">
        <v>61</v>
      </c>
      <c r="C71" s="43"/>
      <c r="D71" s="44" t="e">
        <f>IF(VLOOKUP(C71,'성취기준(22개정)'!$C$3:$E$507,2,0)=0,"",VLOOKUP(C71,'성취기준(22개정)'!$C$3:$E$507,2,0))</f>
        <v>#N/A</v>
      </c>
      <c r="E71" s="44" t="e">
        <f>IF(VLOOKUP(C71,'성취기준(22개정)'!$C$3:$E$507,3,0)=0,"",VLOOKUP(C71,'성취기준(22개정)'!$C$3:$E$507,3,0))</f>
        <v>#N/A</v>
      </c>
      <c r="F71" s="45"/>
      <c r="G71" s="46"/>
      <c r="H71" s="47"/>
      <c r="I71" s="49"/>
      <c r="J71" s="49"/>
      <c r="K71" s="49"/>
      <c r="L71" s="49"/>
      <c r="M71" s="49"/>
      <c r="N71" s="49"/>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row>
    <row r="72" spans="1:54" ht="162" customHeight="1">
      <c r="A72" s="3"/>
      <c r="B72" s="42">
        <v>62</v>
      </c>
      <c r="C72" s="43"/>
      <c r="D72" s="44" t="e">
        <f>IF(VLOOKUP(C72,'성취기준(22개정)'!$C$3:$E$507,2,0)=0,"",VLOOKUP(C72,'성취기준(22개정)'!$C$3:$E$507,2,0))</f>
        <v>#N/A</v>
      </c>
      <c r="E72" s="44" t="e">
        <f>IF(VLOOKUP(C72,'성취기준(22개정)'!$C$3:$E$507,3,0)=0,"",VLOOKUP(C72,'성취기준(22개정)'!$C$3:$E$507,3,0))</f>
        <v>#N/A</v>
      </c>
      <c r="F72" s="45"/>
      <c r="G72" s="46"/>
      <c r="H72" s="47"/>
      <c r="I72" s="49"/>
      <c r="J72" s="49"/>
      <c r="K72" s="49"/>
      <c r="L72" s="49"/>
      <c r="M72" s="49"/>
      <c r="N72" s="49"/>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row>
    <row r="73" spans="1:54" ht="162" customHeight="1">
      <c r="A73" s="3"/>
      <c r="B73" s="42">
        <v>63</v>
      </c>
      <c r="C73" s="43"/>
      <c r="D73" s="44" t="e">
        <f>IF(VLOOKUP(C73,'성취기준(22개정)'!$C$3:$E$507,2,0)=0,"",VLOOKUP(C73,'성취기준(22개정)'!$C$3:$E$507,2,0))</f>
        <v>#N/A</v>
      </c>
      <c r="E73" s="44" t="e">
        <f>IF(VLOOKUP(C73,'성취기준(22개정)'!$C$3:$E$507,3,0)=0,"",VLOOKUP(C73,'성취기준(22개정)'!$C$3:$E$507,3,0))</f>
        <v>#N/A</v>
      </c>
      <c r="F73" s="45"/>
      <c r="G73" s="46"/>
      <c r="H73" s="47"/>
      <c r="I73" s="49"/>
      <c r="J73" s="49"/>
      <c r="K73" s="49"/>
      <c r="L73" s="49"/>
      <c r="M73" s="49"/>
      <c r="N73" s="49"/>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row>
    <row r="74" spans="1:54" ht="162" customHeight="1">
      <c r="A74" s="3"/>
      <c r="B74" s="42">
        <v>64</v>
      </c>
      <c r="C74" s="43"/>
      <c r="D74" s="44" t="e">
        <f>IF(VLOOKUP(C74,'성취기준(22개정)'!$C$3:$E$507,2,0)=0,"",VLOOKUP(C74,'성취기준(22개정)'!$C$3:$E$507,2,0))</f>
        <v>#N/A</v>
      </c>
      <c r="E74" s="44" t="e">
        <f>IF(VLOOKUP(C74,'성취기준(22개정)'!$C$3:$E$507,3,0)=0,"",VLOOKUP(C74,'성취기준(22개정)'!$C$3:$E$507,3,0))</f>
        <v>#N/A</v>
      </c>
      <c r="F74" s="45"/>
      <c r="G74" s="46"/>
      <c r="H74" s="47"/>
      <c r="I74" s="49"/>
      <c r="J74" s="49"/>
      <c r="K74" s="49"/>
      <c r="L74" s="49"/>
      <c r="M74" s="49"/>
      <c r="N74" s="49"/>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row>
    <row r="75" spans="1:54" ht="162" customHeight="1">
      <c r="A75" s="3"/>
      <c r="B75" s="42">
        <v>65</v>
      </c>
      <c r="C75" s="43"/>
      <c r="D75" s="44" t="e">
        <f>IF(VLOOKUP(C75,'성취기준(22개정)'!$C$3:$E$507,2,0)=0,"",VLOOKUP(C75,'성취기준(22개정)'!$C$3:$E$507,2,0))</f>
        <v>#N/A</v>
      </c>
      <c r="E75" s="44" t="e">
        <f>IF(VLOOKUP(C75,'성취기준(22개정)'!$C$3:$E$507,3,0)=0,"",VLOOKUP(C75,'성취기준(22개정)'!$C$3:$E$507,3,0))</f>
        <v>#N/A</v>
      </c>
      <c r="F75" s="45"/>
      <c r="G75" s="46"/>
      <c r="H75" s="47"/>
      <c r="I75" s="49"/>
      <c r="J75" s="49"/>
      <c r="K75" s="49"/>
      <c r="L75" s="49"/>
      <c r="M75" s="49"/>
      <c r="N75" s="49"/>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row>
    <row r="76" spans="1:54" ht="162" customHeight="1">
      <c r="A76" s="3"/>
      <c r="B76" s="42">
        <v>66</v>
      </c>
      <c r="C76" s="43"/>
      <c r="D76" s="44" t="e">
        <f>IF(VLOOKUP(C76,'성취기준(22개정)'!$C$3:$E$507,2,0)=0,"",VLOOKUP(C76,'성취기준(22개정)'!$C$3:$E$507,2,0))</f>
        <v>#N/A</v>
      </c>
      <c r="E76" s="44" t="e">
        <f>IF(VLOOKUP(C76,'성취기준(22개정)'!$C$3:$E$507,3,0)=0,"",VLOOKUP(C76,'성취기준(22개정)'!$C$3:$E$507,3,0))</f>
        <v>#N/A</v>
      </c>
      <c r="F76" s="45"/>
      <c r="G76" s="46"/>
      <c r="H76" s="47"/>
      <c r="I76" s="49"/>
      <c r="J76" s="49"/>
      <c r="K76" s="49"/>
      <c r="L76" s="49"/>
      <c r="M76" s="49"/>
      <c r="N76" s="49"/>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row>
    <row r="77" spans="1:54" ht="162" customHeight="1">
      <c r="A77" s="3"/>
      <c r="B77" s="42">
        <v>67</v>
      </c>
      <c r="C77" s="43"/>
      <c r="D77" s="44" t="e">
        <f>IF(VLOOKUP(C77,'성취기준(22개정)'!$C$3:$E$507,2,0)=0,"",VLOOKUP(C77,'성취기준(22개정)'!$C$3:$E$507,2,0))</f>
        <v>#N/A</v>
      </c>
      <c r="E77" s="44" t="e">
        <f>IF(VLOOKUP(C77,'성취기준(22개정)'!$C$3:$E$507,3,0)=0,"",VLOOKUP(C77,'성취기준(22개정)'!$C$3:$E$507,3,0))</f>
        <v>#N/A</v>
      </c>
      <c r="F77" s="45"/>
      <c r="G77" s="46"/>
      <c r="H77" s="47"/>
      <c r="I77" s="49"/>
      <c r="J77" s="49"/>
      <c r="K77" s="49"/>
      <c r="L77" s="49"/>
      <c r="M77" s="49"/>
      <c r="N77" s="49"/>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row>
    <row r="78" spans="1:54" ht="162" customHeight="1">
      <c r="A78" s="3"/>
      <c r="B78" s="42">
        <v>68</v>
      </c>
      <c r="C78" s="43"/>
      <c r="D78" s="44" t="e">
        <f>IF(VLOOKUP(C78,'성취기준(22개정)'!$C$3:$E$507,2,0)=0,"",VLOOKUP(C78,'성취기준(22개정)'!$C$3:$E$507,2,0))</f>
        <v>#N/A</v>
      </c>
      <c r="E78" s="44" t="e">
        <f>IF(VLOOKUP(C78,'성취기준(22개정)'!$C$3:$E$507,3,0)=0,"",VLOOKUP(C78,'성취기준(22개정)'!$C$3:$E$507,3,0))</f>
        <v>#N/A</v>
      </c>
      <c r="F78" s="45"/>
      <c r="G78" s="46"/>
      <c r="H78" s="47"/>
      <c r="I78" s="49"/>
      <c r="J78" s="49"/>
      <c r="K78" s="49"/>
      <c r="L78" s="49"/>
      <c r="M78" s="49"/>
      <c r="N78" s="49"/>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row>
    <row r="79" spans="1:54" ht="162" customHeight="1">
      <c r="A79" s="3"/>
      <c r="B79" s="42">
        <v>69</v>
      </c>
      <c r="C79" s="43"/>
      <c r="D79" s="44" t="e">
        <f>IF(VLOOKUP(C79,'성취기준(22개정)'!$C$3:$E$507,2,0)=0,"",VLOOKUP(C79,'성취기준(22개정)'!$C$3:$E$507,2,0))</f>
        <v>#N/A</v>
      </c>
      <c r="E79" s="44" t="e">
        <f>IF(VLOOKUP(C79,'성취기준(22개정)'!$C$3:$E$507,3,0)=0,"",VLOOKUP(C79,'성취기준(22개정)'!$C$3:$E$507,3,0))</f>
        <v>#N/A</v>
      </c>
      <c r="F79" s="45"/>
      <c r="G79" s="46"/>
      <c r="H79" s="47"/>
      <c r="I79" s="49"/>
      <c r="J79" s="49"/>
      <c r="K79" s="49"/>
      <c r="L79" s="49"/>
      <c r="M79" s="49"/>
      <c r="N79" s="49"/>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row>
    <row r="80" spans="1:54" ht="162" customHeight="1">
      <c r="A80" s="3"/>
      <c r="B80" s="42">
        <v>70</v>
      </c>
      <c r="C80" s="43"/>
      <c r="D80" s="44" t="e">
        <f>IF(VLOOKUP(C80,'성취기준(22개정)'!$C$3:$E$507,2,0)=0,"",VLOOKUP(C80,'성취기준(22개정)'!$C$3:$E$507,2,0))</f>
        <v>#N/A</v>
      </c>
      <c r="E80" s="44" t="e">
        <f>IF(VLOOKUP(C80,'성취기준(22개정)'!$C$3:$E$507,3,0)=0,"",VLOOKUP(C80,'성취기준(22개정)'!$C$3:$E$507,3,0))</f>
        <v>#N/A</v>
      </c>
      <c r="F80" s="45"/>
      <c r="G80" s="46"/>
      <c r="H80" s="47"/>
      <c r="I80" s="49"/>
      <c r="J80" s="49"/>
      <c r="K80" s="49"/>
      <c r="L80" s="49"/>
      <c r="M80" s="49"/>
      <c r="N80" s="49"/>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row>
    <row r="81" spans="1:54" ht="162" customHeight="1">
      <c r="A81" s="3"/>
      <c r="B81" s="42">
        <v>71</v>
      </c>
      <c r="C81" s="43"/>
      <c r="D81" s="44" t="e">
        <f>IF(VLOOKUP(C81,'성취기준(22개정)'!$C$3:$E$507,2,0)=0,"",VLOOKUP(C81,'성취기준(22개정)'!$C$3:$E$507,2,0))</f>
        <v>#N/A</v>
      </c>
      <c r="E81" s="44" t="e">
        <f>IF(VLOOKUP(C81,'성취기준(22개정)'!$C$3:$E$507,3,0)=0,"",VLOOKUP(C81,'성취기준(22개정)'!$C$3:$E$507,3,0))</f>
        <v>#N/A</v>
      </c>
      <c r="F81" s="45"/>
      <c r="G81" s="46"/>
      <c r="H81" s="47"/>
      <c r="I81" s="49"/>
      <c r="J81" s="49"/>
      <c r="K81" s="49"/>
      <c r="L81" s="49"/>
      <c r="M81" s="49"/>
      <c r="N81" s="49"/>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row>
    <row r="82" spans="1:54" ht="162" customHeight="1">
      <c r="A82" s="3"/>
      <c r="B82" s="42">
        <v>72</v>
      </c>
      <c r="C82" s="43"/>
      <c r="D82" s="44" t="e">
        <f>IF(VLOOKUP(C82,'성취기준(22개정)'!$C$3:$E$507,2,0)=0,"",VLOOKUP(C82,'성취기준(22개정)'!$C$3:$E$507,2,0))</f>
        <v>#N/A</v>
      </c>
      <c r="E82" s="44" t="e">
        <f>IF(VLOOKUP(C82,'성취기준(22개정)'!$C$3:$E$507,3,0)=0,"",VLOOKUP(C82,'성취기준(22개정)'!$C$3:$E$507,3,0))</f>
        <v>#N/A</v>
      </c>
      <c r="F82" s="45"/>
      <c r="G82" s="46"/>
      <c r="H82" s="47"/>
      <c r="I82" s="49"/>
      <c r="J82" s="49"/>
      <c r="K82" s="49"/>
      <c r="L82" s="49"/>
      <c r="M82" s="49"/>
      <c r="N82" s="49"/>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row>
    <row r="83" spans="1:54" ht="162" customHeight="1">
      <c r="A83" s="3"/>
      <c r="B83" s="42">
        <v>73</v>
      </c>
      <c r="C83" s="43"/>
      <c r="D83" s="44" t="e">
        <f>IF(VLOOKUP(C83,'성취기준(22개정)'!$C$3:$E$507,2,0)=0,"",VLOOKUP(C83,'성취기준(22개정)'!$C$3:$E$507,2,0))</f>
        <v>#N/A</v>
      </c>
      <c r="E83" s="44" t="e">
        <f>IF(VLOOKUP(C83,'성취기준(22개정)'!$C$3:$E$507,3,0)=0,"",VLOOKUP(C83,'성취기준(22개정)'!$C$3:$E$507,3,0))</f>
        <v>#N/A</v>
      </c>
      <c r="F83" s="45"/>
      <c r="G83" s="46"/>
      <c r="H83" s="47"/>
      <c r="I83" s="49"/>
      <c r="J83" s="49"/>
      <c r="K83" s="49"/>
      <c r="L83" s="49"/>
      <c r="M83" s="49"/>
      <c r="N83" s="49"/>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row>
    <row r="84" spans="1:54" ht="162" customHeight="1">
      <c r="A84" s="3"/>
      <c r="B84" s="42">
        <v>74</v>
      </c>
      <c r="C84" s="43"/>
      <c r="D84" s="44" t="e">
        <f>IF(VLOOKUP(C84,'성취기준(22개정)'!$C$3:$E$507,2,0)=0,"",VLOOKUP(C84,'성취기준(22개정)'!$C$3:$E$507,2,0))</f>
        <v>#N/A</v>
      </c>
      <c r="E84" s="44" t="e">
        <f>IF(VLOOKUP(C84,'성취기준(22개정)'!$C$3:$E$507,3,0)=0,"",VLOOKUP(C84,'성취기준(22개정)'!$C$3:$E$507,3,0))</f>
        <v>#N/A</v>
      </c>
      <c r="F84" s="45"/>
      <c r="G84" s="46"/>
      <c r="H84" s="47"/>
      <c r="I84" s="49"/>
      <c r="J84" s="49"/>
      <c r="K84" s="49"/>
      <c r="L84" s="49"/>
      <c r="M84" s="49"/>
      <c r="N84" s="49"/>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row>
    <row r="85" spans="1:54" ht="162" customHeight="1">
      <c r="A85" s="3"/>
      <c r="B85" s="42">
        <v>75</v>
      </c>
      <c r="C85" s="43"/>
      <c r="D85" s="44" t="e">
        <f>IF(VLOOKUP(C85,'성취기준(22개정)'!$C$3:$E$507,2,0)=0,"",VLOOKUP(C85,'성취기준(22개정)'!$C$3:$E$507,2,0))</f>
        <v>#N/A</v>
      </c>
      <c r="E85" s="44" t="e">
        <f>IF(VLOOKUP(C85,'성취기준(22개정)'!$C$3:$E$507,3,0)=0,"",VLOOKUP(C85,'성취기준(22개정)'!$C$3:$E$507,3,0))</f>
        <v>#N/A</v>
      </c>
      <c r="F85" s="45"/>
      <c r="G85" s="46"/>
      <c r="H85" s="47"/>
      <c r="I85" s="49"/>
      <c r="J85" s="49"/>
      <c r="K85" s="49"/>
      <c r="L85" s="49"/>
      <c r="M85" s="49"/>
      <c r="N85" s="49"/>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row>
    <row r="86" spans="1:54" ht="162" customHeight="1">
      <c r="A86" s="3"/>
      <c r="B86" s="42">
        <v>76</v>
      </c>
      <c r="C86" s="43"/>
      <c r="D86" s="44" t="e">
        <f>IF(VLOOKUP(C86,'성취기준(22개정)'!$C$3:$E$507,2,0)=0,"",VLOOKUP(C86,'성취기준(22개정)'!$C$3:$E$507,2,0))</f>
        <v>#N/A</v>
      </c>
      <c r="E86" s="44" t="e">
        <f>IF(VLOOKUP(C86,'성취기준(22개정)'!$C$3:$E$507,3,0)=0,"",VLOOKUP(C86,'성취기준(22개정)'!$C$3:$E$507,3,0))</f>
        <v>#N/A</v>
      </c>
      <c r="F86" s="45"/>
      <c r="G86" s="46"/>
      <c r="H86" s="47"/>
      <c r="I86" s="49"/>
      <c r="J86" s="49"/>
      <c r="K86" s="49"/>
      <c r="L86" s="49"/>
      <c r="M86" s="49"/>
      <c r="N86" s="49"/>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row>
    <row r="87" spans="1:54" ht="162" customHeight="1">
      <c r="A87" s="3"/>
      <c r="B87" s="42">
        <v>77</v>
      </c>
      <c r="C87" s="43"/>
      <c r="D87" s="44" t="e">
        <f>IF(VLOOKUP(C87,'성취기준(22개정)'!$C$3:$E$507,2,0)=0,"",VLOOKUP(C87,'성취기준(22개정)'!$C$3:$E$507,2,0))</f>
        <v>#N/A</v>
      </c>
      <c r="E87" s="44" t="e">
        <f>IF(VLOOKUP(C87,'성취기준(22개정)'!$C$3:$E$507,3,0)=0,"",VLOOKUP(C87,'성취기준(22개정)'!$C$3:$E$507,3,0))</f>
        <v>#N/A</v>
      </c>
      <c r="F87" s="45"/>
      <c r="G87" s="46"/>
      <c r="H87" s="47"/>
      <c r="I87" s="49"/>
      <c r="J87" s="49"/>
      <c r="K87" s="49"/>
      <c r="L87" s="49"/>
      <c r="M87" s="49"/>
      <c r="N87" s="49"/>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row>
    <row r="88" spans="1:54" ht="162" customHeight="1">
      <c r="A88" s="3"/>
      <c r="B88" s="42">
        <v>78</v>
      </c>
      <c r="C88" s="43"/>
      <c r="D88" s="44" t="e">
        <f>IF(VLOOKUP(C88,'성취기준(22개정)'!$C$3:$E$507,2,0)=0,"",VLOOKUP(C88,'성취기준(22개정)'!$C$3:$E$507,2,0))</f>
        <v>#N/A</v>
      </c>
      <c r="E88" s="44" t="e">
        <f>IF(VLOOKUP(C88,'성취기준(22개정)'!$C$3:$E$507,3,0)=0,"",VLOOKUP(C88,'성취기준(22개정)'!$C$3:$E$507,3,0))</f>
        <v>#N/A</v>
      </c>
      <c r="F88" s="45"/>
      <c r="G88" s="46"/>
      <c r="H88" s="47"/>
      <c r="I88" s="49"/>
      <c r="J88" s="49"/>
      <c r="K88" s="49"/>
      <c r="L88" s="49"/>
      <c r="M88" s="49"/>
      <c r="N88" s="49"/>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row>
    <row r="89" spans="1:54" ht="162" customHeight="1">
      <c r="A89" s="3"/>
      <c r="B89" s="42">
        <v>79</v>
      </c>
      <c r="C89" s="43"/>
      <c r="D89" s="44" t="e">
        <f>IF(VLOOKUP(C89,'성취기준(22개정)'!$C$3:$E$507,2,0)=0,"",VLOOKUP(C89,'성취기준(22개정)'!$C$3:$E$507,2,0))</f>
        <v>#N/A</v>
      </c>
      <c r="E89" s="44" t="e">
        <f>IF(VLOOKUP(C89,'성취기준(22개정)'!$C$3:$E$507,3,0)=0,"",VLOOKUP(C89,'성취기준(22개정)'!$C$3:$E$507,3,0))</f>
        <v>#N/A</v>
      </c>
      <c r="F89" s="45"/>
      <c r="G89" s="46"/>
      <c r="H89" s="47"/>
      <c r="I89" s="49"/>
      <c r="J89" s="49"/>
      <c r="K89" s="49"/>
      <c r="L89" s="49"/>
      <c r="M89" s="49"/>
      <c r="N89" s="49"/>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row>
    <row r="90" spans="1:54" ht="162" customHeight="1">
      <c r="A90" s="3"/>
      <c r="B90" s="42">
        <v>80</v>
      </c>
      <c r="C90" s="43"/>
      <c r="D90" s="44" t="e">
        <f>IF(VLOOKUP(C90,'성취기준(22개정)'!$C$3:$E$507,2,0)=0,"",VLOOKUP(C90,'성취기준(22개정)'!$C$3:$E$507,2,0))</f>
        <v>#N/A</v>
      </c>
      <c r="E90" s="44" t="e">
        <f>IF(VLOOKUP(C90,'성취기준(22개정)'!$C$3:$E$507,3,0)=0,"",VLOOKUP(C90,'성취기준(22개정)'!$C$3:$E$507,3,0))</f>
        <v>#N/A</v>
      </c>
      <c r="F90" s="45"/>
      <c r="G90" s="46"/>
      <c r="H90" s="47"/>
      <c r="I90" s="49"/>
      <c r="J90" s="49"/>
      <c r="K90" s="49"/>
      <c r="L90" s="49"/>
      <c r="M90" s="49"/>
      <c r="N90" s="49"/>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row>
    <row r="91" spans="1:54" ht="162" customHeight="1">
      <c r="A91" s="3"/>
      <c r="B91" s="42">
        <v>81</v>
      </c>
      <c r="C91" s="43"/>
      <c r="D91" s="44" t="e">
        <f>IF(VLOOKUP(C91,'성취기준(22개정)'!$C$3:$E$507,2,0)=0,"",VLOOKUP(C91,'성취기준(22개정)'!$C$3:$E$507,2,0))</f>
        <v>#N/A</v>
      </c>
      <c r="E91" s="44" t="e">
        <f>IF(VLOOKUP(C91,'성취기준(22개정)'!$C$3:$E$507,3,0)=0,"",VLOOKUP(C91,'성취기준(22개정)'!$C$3:$E$507,3,0))</f>
        <v>#N/A</v>
      </c>
      <c r="F91" s="45"/>
      <c r="G91" s="46"/>
      <c r="H91" s="47"/>
      <c r="I91" s="49"/>
      <c r="J91" s="49"/>
      <c r="K91" s="49"/>
      <c r="L91" s="49"/>
      <c r="M91" s="49"/>
      <c r="N91" s="49"/>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row>
    <row r="92" spans="1:54" ht="162" customHeight="1">
      <c r="A92" s="3"/>
      <c r="B92" s="42">
        <v>82</v>
      </c>
      <c r="C92" s="43"/>
      <c r="D92" s="44" t="e">
        <f>IF(VLOOKUP(C92,'성취기준(22개정)'!$C$3:$E$507,2,0)=0,"",VLOOKUP(C92,'성취기준(22개정)'!$C$3:$E$507,2,0))</f>
        <v>#N/A</v>
      </c>
      <c r="E92" s="44" t="e">
        <f>IF(VLOOKUP(C92,'성취기준(22개정)'!$C$3:$E$507,3,0)=0,"",VLOOKUP(C92,'성취기준(22개정)'!$C$3:$E$507,3,0))</f>
        <v>#N/A</v>
      </c>
      <c r="F92" s="45"/>
      <c r="G92" s="46"/>
      <c r="H92" s="47"/>
      <c r="I92" s="49"/>
      <c r="J92" s="49"/>
      <c r="K92" s="49"/>
      <c r="L92" s="49"/>
      <c r="M92" s="49"/>
      <c r="N92" s="49"/>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row>
    <row r="93" spans="1:54" ht="162" customHeight="1">
      <c r="A93" s="3"/>
      <c r="B93" s="42">
        <v>83</v>
      </c>
      <c r="C93" s="43"/>
      <c r="D93" s="44" t="e">
        <f>IF(VLOOKUP(C93,'성취기준(22개정)'!$C$3:$E$507,2,0)=0,"",VLOOKUP(C93,'성취기준(22개정)'!$C$3:$E$507,2,0))</f>
        <v>#N/A</v>
      </c>
      <c r="E93" s="44" t="e">
        <f>IF(VLOOKUP(C93,'성취기준(22개정)'!$C$3:$E$507,3,0)=0,"",VLOOKUP(C93,'성취기준(22개정)'!$C$3:$E$507,3,0))</f>
        <v>#N/A</v>
      </c>
      <c r="F93" s="45"/>
      <c r="G93" s="46"/>
      <c r="H93" s="47"/>
      <c r="I93" s="49"/>
      <c r="J93" s="49"/>
      <c r="K93" s="49"/>
      <c r="L93" s="49"/>
      <c r="M93" s="49"/>
      <c r="N93" s="49"/>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row>
    <row r="94" spans="1:54" ht="162" customHeight="1">
      <c r="A94" s="3"/>
      <c r="B94" s="42">
        <v>84</v>
      </c>
      <c r="C94" s="43"/>
      <c r="D94" s="44" t="e">
        <f>IF(VLOOKUP(C94,'성취기준(22개정)'!$C$3:$E$507,2,0)=0,"",VLOOKUP(C94,'성취기준(22개정)'!$C$3:$E$507,2,0))</f>
        <v>#N/A</v>
      </c>
      <c r="E94" s="44" t="e">
        <f>IF(VLOOKUP(C94,'성취기준(22개정)'!$C$3:$E$507,3,0)=0,"",VLOOKUP(C94,'성취기준(22개정)'!$C$3:$E$507,3,0))</f>
        <v>#N/A</v>
      </c>
      <c r="F94" s="45"/>
      <c r="G94" s="46"/>
      <c r="H94" s="47"/>
      <c r="I94" s="49"/>
      <c r="J94" s="49"/>
      <c r="K94" s="49"/>
      <c r="L94" s="49"/>
      <c r="M94" s="49"/>
      <c r="N94" s="49"/>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row>
    <row r="95" spans="1:54" ht="162" customHeight="1">
      <c r="A95" s="3"/>
      <c r="B95" s="42">
        <v>85</v>
      </c>
      <c r="C95" s="43"/>
      <c r="D95" s="44" t="e">
        <f>IF(VLOOKUP(C95,'성취기준(22개정)'!$C$3:$E$507,2,0)=0,"",VLOOKUP(C95,'성취기준(22개정)'!$C$3:$E$507,2,0))</f>
        <v>#N/A</v>
      </c>
      <c r="E95" s="44" t="e">
        <f>IF(VLOOKUP(C95,'성취기준(22개정)'!$C$3:$E$507,3,0)=0,"",VLOOKUP(C95,'성취기준(22개정)'!$C$3:$E$507,3,0))</f>
        <v>#N/A</v>
      </c>
      <c r="F95" s="45"/>
      <c r="G95" s="46"/>
      <c r="H95" s="47"/>
      <c r="I95" s="49"/>
      <c r="J95" s="49"/>
      <c r="K95" s="49"/>
      <c r="L95" s="49"/>
      <c r="M95" s="49"/>
      <c r="N95" s="49"/>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row>
    <row r="96" spans="1:54" ht="162" customHeight="1">
      <c r="A96" s="3"/>
      <c r="B96" s="42">
        <v>86</v>
      </c>
      <c r="C96" s="43"/>
      <c r="D96" s="44" t="e">
        <f>IF(VLOOKUP(C96,'성취기준(22개정)'!$C$3:$E$507,2,0)=0,"",VLOOKUP(C96,'성취기준(22개정)'!$C$3:$E$507,2,0))</f>
        <v>#N/A</v>
      </c>
      <c r="E96" s="44" t="e">
        <f>IF(VLOOKUP(C96,'성취기준(22개정)'!$C$3:$E$507,3,0)=0,"",VLOOKUP(C96,'성취기준(22개정)'!$C$3:$E$507,3,0))</f>
        <v>#N/A</v>
      </c>
      <c r="F96" s="45"/>
      <c r="G96" s="46"/>
      <c r="H96" s="47"/>
      <c r="I96" s="49"/>
      <c r="J96" s="49"/>
      <c r="K96" s="49"/>
      <c r="L96" s="49"/>
      <c r="M96" s="49"/>
      <c r="N96" s="49"/>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row>
    <row r="97" spans="1:54" ht="162" customHeight="1">
      <c r="A97" s="3"/>
      <c r="B97" s="42">
        <v>87</v>
      </c>
      <c r="C97" s="43"/>
      <c r="D97" s="44" t="e">
        <f>IF(VLOOKUP(C97,'성취기준(22개정)'!$C$3:$E$507,2,0)=0,"",VLOOKUP(C97,'성취기준(22개정)'!$C$3:$E$507,2,0))</f>
        <v>#N/A</v>
      </c>
      <c r="E97" s="44" t="e">
        <f>IF(VLOOKUP(C97,'성취기준(22개정)'!$C$3:$E$507,3,0)=0,"",VLOOKUP(C97,'성취기준(22개정)'!$C$3:$E$507,3,0))</f>
        <v>#N/A</v>
      </c>
      <c r="F97" s="45"/>
      <c r="G97" s="46"/>
      <c r="H97" s="47"/>
      <c r="I97" s="49"/>
      <c r="J97" s="49"/>
      <c r="K97" s="49"/>
      <c r="L97" s="49"/>
      <c r="M97" s="49"/>
      <c r="N97" s="49"/>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row>
    <row r="98" spans="1:54" ht="162" customHeight="1">
      <c r="A98" s="3"/>
      <c r="B98" s="42">
        <v>88</v>
      </c>
      <c r="C98" s="43"/>
      <c r="D98" s="44" t="e">
        <f>IF(VLOOKUP(C98,'성취기준(22개정)'!$C$3:$E$507,2,0)=0,"",VLOOKUP(C98,'성취기준(22개정)'!$C$3:$E$507,2,0))</f>
        <v>#N/A</v>
      </c>
      <c r="E98" s="44" t="e">
        <f>IF(VLOOKUP(C98,'성취기준(22개정)'!$C$3:$E$507,3,0)=0,"",VLOOKUP(C98,'성취기준(22개정)'!$C$3:$E$507,3,0))</f>
        <v>#N/A</v>
      </c>
      <c r="F98" s="45"/>
      <c r="G98" s="46"/>
      <c r="H98" s="47"/>
      <c r="I98" s="49"/>
      <c r="J98" s="49"/>
      <c r="K98" s="49"/>
      <c r="L98" s="49"/>
      <c r="M98" s="49"/>
      <c r="N98" s="49"/>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row>
    <row r="99" spans="1:54" ht="162" customHeight="1">
      <c r="A99" s="3"/>
      <c r="B99" s="42">
        <v>89</v>
      </c>
      <c r="C99" s="43"/>
      <c r="D99" s="44" t="e">
        <f>IF(VLOOKUP(C99,'성취기준(22개정)'!$C$3:$E$507,2,0)=0,"",VLOOKUP(C99,'성취기준(22개정)'!$C$3:$E$507,2,0))</f>
        <v>#N/A</v>
      </c>
      <c r="E99" s="44" t="e">
        <f>IF(VLOOKUP(C99,'성취기준(22개정)'!$C$3:$E$507,3,0)=0,"",VLOOKUP(C99,'성취기준(22개정)'!$C$3:$E$507,3,0))</f>
        <v>#N/A</v>
      </c>
      <c r="F99" s="45"/>
      <c r="G99" s="46"/>
      <c r="H99" s="47"/>
      <c r="I99" s="49"/>
      <c r="J99" s="49"/>
      <c r="K99" s="49"/>
      <c r="L99" s="49"/>
      <c r="M99" s="49"/>
      <c r="N99" s="49"/>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row>
    <row r="100" spans="1:54" ht="162" customHeight="1">
      <c r="A100" s="3"/>
      <c r="B100" s="42">
        <v>90</v>
      </c>
      <c r="C100" s="43"/>
      <c r="D100" s="44" t="e">
        <f>IF(VLOOKUP(C100,'성취기준(22개정)'!$C$3:$E$507,2,0)=0,"",VLOOKUP(C100,'성취기준(22개정)'!$C$3:$E$507,2,0))</f>
        <v>#N/A</v>
      </c>
      <c r="E100" s="44" t="e">
        <f>IF(VLOOKUP(C100,'성취기준(22개정)'!$C$3:$E$507,3,0)=0,"",VLOOKUP(C100,'성취기준(22개정)'!$C$3:$E$507,3,0))</f>
        <v>#N/A</v>
      </c>
      <c r="F100" s="45"/>
      <c r="G100" s="46"/>
      <c r="H100" s="47"/>
      <c r="I100" s="49"/>
      <c r="J100" s="49"/>
      <c r="K100" s="49"/>
      <c r="L100" s="49"/>
      <c r="M100" s="49"/>
      <c r="N100" s="49"/>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row>
    <row r="101" spans="1:54" ht="162" customHeight="1">
      <c r="A101" s="3"/>
      <c r="B101" s="42">
        <v>91</v>
      </c>
      <c r="C101" s="43"/>
      <c r="D101" s="44" t="e">
        <f>IF(VLOOKUP(C101,'성취기준(22개정)'!$C$3:$E$507,2,0)=0,"",VLOOKUP(C101,'성취기준(22개정)'!$C$3:$E$507,2,0))</f>
        <v>#N/A</v>
      </c>
      <c r="E101" s="44" t="e">
        <f>IF(VLOOKUP(C101,'성취기준(22개정)'!$C$3:$E$507,3,0)=0,"",VLOOKUP(C101,'성취기준(22개정)'!$C$3:$E$507,3,0))</f>
        <v>#N/A</v>
      </c>
      <c r="F101" s="45"/>
      <c r="G101" s="46"/>
      <c r="H101" s="47"/>
      <c r="I101" s="49"/>
      <c r="J101" s="49"/>
      <c r="K101" s="49"/>
      <c r="L101" s="49"/>
      <c r="M101" s="49"/>
      <c r="N101" s="49"/>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row>
    <row r="102" spans="1:54" ht="162" customHeight="1">
      <c r="A102" s="3"/>
      <c r="B102" s="42">
        <v>92</v>
      </c>
      <c r="C102" s="43"/>
      <c r="D102" s="44" t="e">
        <f>IF(VLOOKUP(C102,'성취기준(22개정)'!$C$3:$E$507,2,0)=0,"",VLOOKUP(C102,'성취기준(22개정)'!$C$3:$E$507,2,0))</f>
        <v>#N/A</v>
      </c>
      <c r="E102" s="44" t="e">
        <f>IF(VLOOKUP(C102,'성취기준(22개정)'!$C$3:$E$507,3,0)=0,"",VLOOKUP(C102,'성취기준(22개정)'!$C$3:$E$507,3,0))</f>
        <v>#N/A</v>
      </c>
      <c r="F102" s="45"/>
      <c r="G102" s="46"/>
      <c r="H102" s="47"/>
      <c r="I102" s="49"/>
      <c r="J102" s="49"/>
      <c r="K102" s="49"/>
      <c r="L102" s="49"/>
      <c r="M102" s="49"/>
      <c r="N102" s="49"/>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row>
    <row r="103" spans="1:54" ht="162" customHeight="1">
      <c r="A103" s="3"/>
      <c r="B103" s="42">
        <v>93</v>
      </c>
      <c r="C103" s="43"/>
      <c r="D103" s="44" t="e">
        <f>IF(VLOOKUP(C103,'성취기준(22개정)'!$C$3:$E$507,2,0)=0,"",VLOOKUP(C103,'성취기준(22개정)'!$C$3:$E$507,2,0))</f>
        <v>#N/A</v>
      </c>
      <c r="E103" s="44" t="e">
        <f>IF(VLOOKUP(C103,'성취기준(22개정)'!$C$3:$E$507,3,0)=0,"",VLOOKUP(C103,'성취기준(22개정)'!$C$3:$E$507,3,0))</f>
        <v>#N/A</v>
      </c>
      <c r="F103" s="45"/>
      <c r="G103" s="46"/>
      <c r="H103" s="47"/>
      <c r="I103" s="49"/>
      <c r="J103" s="49"/>
      <c r="K103" s="49"/>
      <c r="L103" s="49"/>
      <c r="M103" s="49"/>
      <c r="N103" s="49"/>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row>
    <row r="104" spans="1:54" ht="162" customHeight="1">
      <c r="A104" s="3"/>
      <c r="B104" s="42">
        <v>94</v>
      </c>
      <c r="C104" s="43"/>
      <c r="D104" s="44" t="e">
        <f>IF(VLOOKUP(C104,'성취기준(22개정)'!$C$3:$E$507,2,0)=0,"",VLOOKUP(C104,'성취기준(22개정)'!$C$3:$E$507,2,0))</f>
        <v>#N/A</v>
      </c>
      <c r="E104" s="44" t="e">
        <f>IF(VLOOKUP(C104,'성취기준(22개정)'!$C$3:$E$507,3,0)=0,"",VLOOKUP(C104,'성취기준(22개정)'!$C$3:$E$507,3,0))</f>
        <v>#N/A</v>
      </c>
      <c r="F104" s="45"/>
      <c r="G104" s="46"/>
      <c r="H104" s="47"/>
      <c r="I104" s="49"/>
      <c r="J104" s="49"/>
      <c r="K104" s="49"/>
      <c r="L104" s="49"/>
      <c r="M104" s="49"/>
      <c r="N104" s="49"/>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row>
    <row r="105" spans="1:54" ht="162" customHeight="1">
      <c r="A105" s="3"/>
      <c r="B105" s="42">
        <v>95</v>
      </c>
      <c r="C105" s="43"/>
      <c r="D105" s="44" t="e">
        <f>IF(VLOOKUP(C105,'성취기준(22개정)'!$C$3:$E$507,2,0)=0,"",VLOOKUP(C105,'성취기준(22개정)'!$C$3:$E$507,2,0))</f>
        <v>#N/A</v>
      </c>
      <c r="E105" s="44" t="e">
        <f>IF(VLOOKUP(C105,'성취기준(22개정)'!$C$3:$E$507,3,0)=0,"",VLOOKUP(C105,'성취기준(22개정)'!$C$3:$E$507,3,0))</f>
        <v>#N/A</v>
      </c>
      <c r="F105" s="45"/>
      <c r="G105" s="46"/>
      <c r="H105" s="47"/>
      <c r="I105" s="49"/>
      <c r="J105" s="49"/>
      <c r="K105" s="49"/>
      <c r="L105" s="49"/>
      <c r="M105" s="49"/>
      <c r="N105" s="49"/>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row>
    <row r="106" spans="1:54" ht="162" customHeight="1">
      <c r="A106" s="3"/>
      <c r="B106" s="42">
        <v>96</v>
      </c>
      <c r="C106" s="43"/>
      <c r="D106" s="44" t="e">
        <f>IF(VLOOKUP(C106,'성취기준(22개정)'!$C$3:$E$507,2,0)=0,"",VLOOKUP(C106,'성취기준(22개정)'!$C$3:$E$507,2,0))</f>
        <v>#N/A</v>
      </c>
      <c r="E106" s="44" t="e">
        <f>IF(VLOOKUP(C106,'성취기준(22개정)'!$C$3:$E$507,3,0)=0,"",VLOOKUP(C106,'성취기준(22개정)'!$C$3:$E$507,3,0))</f>
        <v>#N/A</v>
      </c>
      <c r="F106" s="45"/>
      <c r="G106" s="46"/>
      <c r="H106" s="47"/>
      <c r="I106" s="49"/>
      <c r="J106" s="49"/>
      <c r="K106" s="49"/>
      <c r="L106" s="49"/>
      <c r="M106" s="49"/>
      <c r="N106" s="49"/>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row>
    <row r="107" spans="1:54" ht="162" customHeight="1">
      <c r="A107" s="3"/>
      <c r="B107" s="42">
        <v>97</v>
      </c>
      <c r="C107" s="43"/>
      <c r="D107" s="44" t="e">
        <f>IF(VLOOKUP(C107,'성취기준(22개정)'!$C$3:$E$507,2,0)=0,"",VLOOKUP(C107,'성취기준(22개정)'!$C$3:$E$507,2,0))</f>
        <v>#N/A</v>
      </c>
      <c r="E107" s="44" t="e">
        <f>IF(VLOOKUP(C107,'성취기준(22개정)'!$C$3:$E$507,3,0)=0,"",VLOOKUP(C107,'성취기준(22개정)'!$C$3:$E$507,3,0))</f>
        <v>#N/A</v>
      </c>
      <c r="F107" s="45"/>
      <c r="G107" s="46"/>
      <c r="H107" s="47"/>
      <c r="I107" s="49"/>
      <c r="J107" s="49"/>
      <c r="K107" s="49"/>
      <c r="L107" s="49"/>
      <c r="M107" s="49"/>
      <c r="N107" s="49"/>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row>
    <row r="108" spans="1:54" ht="162" customHeight="1">
      <c r="A108" s="3"/>
      <c r="B108" s="42">
        <v>98</v>
      </c>
      <c r="C108" s="43"/>
      <c r="D108" s="44" t="e">
        <f>IF(VLOOKUP(C108,'성취기준(22개정)'!$C$3:$E$507,2,0)=0,"",VLOOKUP(C108,'성취기준(22개정)'!$C$3:$E$507,2,0))</f>
        <v>#N/A</v>
      </c>
      <c r="E108" s="44" t="e">
        <f>IF(VLOOKUP(C108,'성취기준(22개정)'!$C$3:$E$507,3,0)=0,"",VLOOKUP(C108,'성취기준(22개정)'!$C$3:$E$507,3,0))</f>
        <v>#N/A</v>
      </c>
      <c r="F108" s="45"/>
      <c r="G108" s="46"/>
      <c r="H108" s="47"/>
      <c r="I108" s="49"/>
      <c r="J108" s="49"/>
      <c r="K108" s="49"/>
      <c r="L108" s="49"/>
      <c r="M108" s="49"/>
      <c r="N108" s="49"/>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row>
    <row r="109" spans="1:54" ht="162" customHeight="1">
      <c r="A109" s="3"/>
      <c r="B109" s="42">
        <v>99</v>
      </c>
      <c r="C109" s="43"/>
      <c r="D109" s="44" t="e">
        <f>IF(VLOOKUP(C109,'성취기준(22개정)'!$C$3:$E$507,2,0)=0,"",VLOOKUP(C109,'성취기준(22개정)'!$C$3:$E$507,2,0))</f>
        <v>#N/A</v>
      </c>
      <c r="E109" s="44" t="e">
        <f>IF(VLOOKUP(C109,'성취기준(22개정)'!$C$3:$E$507,3,0)=0,"",VLOOKUP(C109,'성취기준(22개정)'!$C$3:$E$507,3,0))</f>
        <v>#N/A</v>
      </c>
      <c r="F109" s="45"/>
      <c r="G109" s="46"/>
      <c r="H109" s="47"/>
      <c r="I109" s="49"/>
      <c r="J109" s="49"/>
      <c r="K109" s="49"/>
      <c r="L109" s="49"/>
      <c r="M109" s="49"/>
      <c r="N109" s="49"/>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row>
    <row r="110" spans="1:54" ht="162" customHeight="1">
      <c r="A110" s="3"/>
      <c r="B110" s="42">
        <v>100</v>
      </c>
      <c r="C110" s="43"/>
      <c r="D110" s="44" t="e">
        <f>IF(VLOOKUP(C110,'성취기준(22개정)'!$C$3:$E$507,2,0)=0,"",VLOOKUP(C110,'성취기준(22개정)'!$C$3:$E$507,2,0))</f>
        <v>#N/A</v>
      </c>
      <c r="E110" s="44" t="e">
        <f>IF(VLOOKUP(C110,'성취기준(22개정)'!$C$3:$E$507,3,0)=0,"",VLOOKUP(C110,'성취기준(22개정)'!$C$3:$E$507,3,0))</f>
        <v>#N/A</v>
      </c>
      <c r="F110" s="50"/>
      <c r="G110" s="46"/>
      <c r="H110" s="47"/>
      <c r="I110" s="49"/>
      <c r="J110" s="49"/>
      <c r="K110" s="49"/>
      <c r="L110" s="49"/>
      <c r="M110" s="49"/>
      <c r="N110" s="49"/>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row>
    <row r="111" spans="1:54" ht="16.5" customHeight="1">
      <c r="A111" s="51"/>
      <c r="B111" s="51"/>
      <c r="C111" s="51"/>
      <c r="D111" s="51"/>
      <c r="E111" s="51"/>
      <c r="F111" s="51"/>
      <c r="G111" s="51"/>
      <c r="H111" s="51"/>
      <c r="I111" s="52"/>
      <c r="J111" s="52"/>
      <c r="K111" s="52"/>
      <c r="L111" s="52"/>
      <c r="M111" s="52"/>
      <c r="N111" s="52"/>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row>
    <row r="112" spans="1:54" ht="16.5" customHeight="1">
      <c r="A112" s="51"/>
      <c r="B112" s="51"/>
      <c r="C112" s="51"/>
      <c r="D112" s="51"/>
      <c r="E112" s="51"/>
      <c r="F112" s="51"/>
      <c r="G112" s="51"/>
      <c r="H112" s="51"/>
      <c r="I112" s="52"/>
      <c r="J112" s="52"/>
      <c r="K112" s="52"/>
      <c r="L112" s="52"/>
      <c r="M112" s="52"/>
      <c r="N112" s="52"/>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row>
    <row r="113" spans="1:54" ht="16.5" customHeight="1">
      <c r="A113" s="51"/>
      <c r="B113" s="51"/>
      <c r="C113" s="51"/>
      <c r="D113" s="51"/>
      <c r="E113" s="51"/>
      <c r="F113" s="51"/>
      <c r="G113" s="51"/>
      <c r="H113" s="51"/>
      <c r="I113" s="52"/>
      <c r="J113" s="52"/>
      <c r="K113" s="52"/>
      <c r="L113" s="52"/>
      <c r="M113" s="52"/>
      <c r="N113" s="52"/>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row>
    <row r="114" spans="1:54" ht="16.5" customHeight="1">
      <c r="A114" s="51"/>
      <c r="B114" s="51"/>
      <c r="C114" s="51"/>
      <c r="D114" s="51"/>
      <c r="E114" s="51"/>
      <c r="F114" s="51"/>
      <c r="G114" s="51"/>
      <c r="H114" s="51"/>
      <c r="I114" s="52"/>
      <c r="J114" s="52"/>
      <c r="K114" s="52"/>
      <c r="L114" s="52"/>
      <c r="M114" s="52"/>
      <c r="N114" s="52"/>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row>
    <row r="115" spans="1:54" ht="16.5" customHeight="1">
      <c r="A115" s="3"/>
      <c r="B115" s="3"/>
      <c r="C115" s="3"/>
      <c r="D115" s="3"/>
      <c r="E115" s="3"/>
      <c r="F115" s="3"/>
      <c r="G115" s="3"/>
      <c r="H115" s="3"/>
      <c r="I115" s="53"/>
      <c r="J115" s="53"/>
      <c r="K115" s="53"/>
      <c r="L115" s="53"/>
      <c r="M115" s="53"/>
      <c r="N115" s="5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row>
    <row r="116" spans="1:54" ht="16.5" customHeight="1">
      <c r="A116" s="3"/>
      <c r="B116" s="3"/>
      <c r="C116" s="3"/>
      <c r="D116" s="3"/>
      <c r="E116" s="3"/>
      <c r="F116" s="3"/>
      <c r="G116" s="3"/>
      <c r="H116" s="3"/>
      <c r="I116" s="53"/>
      <c r="J116" s="53"/>
      <c r="K116" s="53"/>
      <c r="L116" s="53"/>
      <c r="M116" s="53"/>
      <c r="N116" s="5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row>
    <row r="117" spans="1:54" ht="16.5" customHeight="1">
      <c r="A117" s="3"/>
      <c r="B117" s="3"/>
      <c r="C117" s="3"/>
      <c r="D117" s="3"/>
      <c r="E117" s="3"/>
      <c r="F117" s="3"/>
      <c r="G117" s="3"/>
      <c r="H117" s="3"/>
      <c r="I117" s="53"/>
      <c r="J117" s="53"/>
      <c r="K117" s="53"/>
      <c r="L117" s="53"/>
      <c r="M117" s="53"/>
      <c r="N117" s="5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row>
    <row r="118" spans="1:54" ht="16.5" customHeight="1">
      <c r="A118" s="3"/>
      <c r="B118" s="3"/>
      <c r="C118" s="3"/>
      <c r="D118" s="3"/>
      <c r="E118" s="3"/>
      <c r="F118" s="3"/>
      <c r="G118" s="3"/>
      <c r="H118" s="3"/>
      <c r="I118" s="53"/>
      <c r="J118" s="53"/>
      <c r="K118" s="53"/>
      <c r="L118" s="53"/>
      <c r="M118" s="53"/>
      <c r="N118" s="5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row>
    <row r="119" spans="1:54" ht="16.5" customHeight="1">
      <c r="A119" s="3"/>
      <c r="B119" s="3"/>
      <c r="C119" s="3"/>
      <c r="D119" s="3"/>
      <c r="E119" s="3"/>
      <c r="F119" s="3"/>
      <c r="G119" s="3"/>
      <c r="H119" s="3"/>
      <c r="I119" s="53"/>
      <c r="J119" s="53"/>
      <c r="K119" s="53"/>
      <c r="L119" s="53"/>
      <c r="M119" s="53"/>
      <c r="N119" s="5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row>
    <row r="120" spans="1:54" ht="16.5" customHeight="1">
      <c r="A120" s="3"/>
      <c r="B120" s="3"/>
      <c r="C120" s="3"/>
      <c r="D120" s="3"/>
      <c r="E120" s="3"/>
      <c r="F120" s="3"/>
      <c r="G120" s="3"/>
      <c r="H120" s="3"/>
      <c r="I120" s="53"/>
      <c r="J120" s="53"/>
      <c r="K120" s="53"/>
      <c r="L120" s="53"/>
      <c r="M120" s="53"/>
      <c r="N120" s="5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row>
    <row r="121" spans="1:54" ht="16.5" customHeight="1">
      <c r="A121" s="3"/>
      <c r="B121" s="3"/>
      <c r="C121" s="3"/>
      <c r="D121" s="3"/>
      <c r="E121" s="3"/>
      <c r="F121" s="3"/>
      <c r="G121" s="3"/>
      <c r="H121" s="3"/>
      <c r="I121" s="53"/>
      <c r="J121" s="53"/>
      <c r="K121" s="53"/>
      <c r="L121" s="53"/>
      <c r="M121" s="53"/>
      <c r="N121" s="5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row>
    <row r="122" spans="1:54" ht="16.5" customHeight="1">
      <c r="A122" s="3"/>
      <c r="B122" s="3"/>
      <c r="C122" s="3"/>
      <c r="D122" s="3"/>
      <c r="E122" s="3"/>
      <c r="F122" s="3"/>
      <c r="G122" s="3"/>
      <c r="H122" s="3"/>
      <c r="I122" s="53"/>
      <c r="J122" s="53"/>
      <c r="K122" s="53"/>
      <c r="L122" s="53"/>
      <c r="M122" s="53"/>
      <c r="N122" s="5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row>
    <row r="123" spans="1:54" ht="16.5" customHeight="1">
      <c r="A123" s="3"/>
      <c r="B123" s="3"/>
      <c r="C123" s="3"/>
      <c r="D123" s="3"/>
      <c r="E123" s="3"/>
      <c r="F123" s="3"/>
      <c r="G123" s="3"/>
      <c r="H123" s="3"/>
      <c r="I123" s="53"/>
      <c r="J123" s="53"/>
      <c r="K123" s="53"/>
      <c r="L123" s="53"/>
      <c r="M123" s="53"/>
      <c r="N123" s="5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row>
    <row r="124" spans="1:54" ht="16.5" customHeight="1">
      <c r="A124" s="3"/>
      <c r="B124" s="3"/>
      <c r="C124" s="3"/>
      <c r="D124" s="3"/>
      <c r="E124" s="3"/>
      <c r="F124" s="3"/>
      <c r="G124" s="3"/>
      <c r="H124" s="3"/>
      <c r="I124" s="53"/>
      <c r="J124" s="53"/>
      <c r="K124" s="53"/>
      <c r="L124" s="53"/>
      <c r="M124" s="53"/>
      <c r="N124" s="5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row>
    <row r="125" spans="1:54" ht="16.5" customHeight="1">
      <c r="A125" s="3"/>
      <c r="B125" s="3"/>
      <c r="C125" s="3"/>
      <c r="D125" s="3"/>
      <c r="E125" s="3"/>
      <c r="F125" s="3"/>
      <c r="G125" s="3"/>
      <c r="H125" s="3"/>
      <c r="I125" s="53"/>
      <c r="J125" s="53"/>
      <c r="K125" s="53"/>
      <c r="L125" s="53"/>
      <c r="M125" s="53"/>
      <c r="N125" s="5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row>
    <row r="126" spans="1:54" ht="16.5" customHeight="1">
      <c r="A126" s="3"/>
      <c r="B126" s="3"/>
      <c r="C126" s="3"/>
      <c r="D126" s="3"/>
      <c r="E126" s="3"/>
      <c r="F126" s="3"/>
      <c r="G126" s="3"/>
      <c r="H126" s="3"/>
      <c r="I126" s="53"/>
      <c r="J126" s="53"/>
      <c r="K126" s="53"/>
      <c r="L126" s="53"/>
      <c r="M126" s="53"/>
      <c r="N126" s="5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row>
    <row r="127" spans="1:54" ht="16.5" customHeight="1">
      <c r="A127" s="3"/>
      <c r="B127" s="3"/>
      <c r="C127" s="3"/>
      <c r="D127" s="3"/>
      <c r="E127" s="3"/>
      <c r="F127" s="3"/>
      <c r="G127" s="3"/>
      <c r="H127" s="3"/>
      <c r="I127" s="53"/>
      <c r="J127" s="53"/>
      <c r="K127" s="53"/>
      <c r="L127" s="53"/>
      <c r="M127" s="53"/>
      <c r="N127" s="5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row>
    <row r="128" spans="1:54" ht="16.5" customHeight="1">
      <c r="A128" s="3"/>
      <c r="B128" s="3"/>
      <c r="C128" s="3"/>
      <c r="D128" s="3"/>
      <c r="E128" s="3"/>
      <c r="F128" s="3"/>
      <c r="G128" s="3"/>
      <c r="H128" s="3"/>
      <c r="I128" s="53"/>
      <c r="J128" s="53"/>
      <c r="K128" s="53"/>
      <c r="L128" s="53"/>
      <c r="M128" s="53"/>
      <c r="N128" s="5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row>
    <row r="129" spans="1:54" ht="16.5" customHeight="1">
      <c r="A129" s="3"/>
      <c r="B129" s="3"/>
      <c r="C129" s="3"/>
      <c r="D129" s="3"/>
      <c r="E129" s="3"/>
      <c r="F129" s="3"/>
      <c r="G129" s="3"/>
      <c r="H129" s="3"/>
      <c r="I129" s="53"/>
      <c r="J129" s="53"/>
      <c r="K129" s="53"/>
      <c r="L129" s="53"/>
      <c r="M129" s="53"/>
      <c r="N129" s="5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row>
    <row r="130" spans="1:54" ht="16.5" customHeight="1">
      <c r="A130" s="3"/>
      <c r="B130" s="3"/>
      <c r="C130" s="3"/>
      <c r="D130" s="3"/>
      <c r="E130" s="3"/>
      <c r="F130" s="3"/>
      <c r="G130" s="3"/>
      <c r="H130" s="3"/>
      <c r="I130" s="53"/>
      <c r="J130" s="53"/>
      <c r="K130" s="53"/>
      <c r="L130" s="53"/>
      <c r="M130" s="53"/>
      <c r="N130" s="5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row>
    <row r="131" spans="1:54" ht="16.5" customHeight="1">
      <c r="A131" s="3"/>
      <c r="B131" s="3"/>
      <c r="C131" s="3"/>
      <c r="D131" s="3"/>
      <c r="E131" s="3"/>
      <c r="F131" s="3"/>
      <c r="G131" s="3"/>
      <c r="H131" s="3"/>
      <c r="I131" s="53"/>
      <c r="J131" s="53"/>
      <c r="K131" s="53"/>
      <c r="L131" s="53"/>
      <c r="M131" s="53"/>
      <c r="N131" s="5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row>
    <row r="132" spans="1:54" ht="16.5" customHeight="1">
      <c r="A132" s="3"/>
      <c r="B132" s="3"/>
      <c r="C132" s="3"/>
      <c r="D132" s="3"/>
      <c r="E132" s="3"/>
      <c r="F132" s="3"/>
      <c r="G132" s="3"/>
      <c r="H132" s="3"/>
      <c r="I132" s="53"/>
      <c r="J132" s="53"/>
      <c r="K132" s="53"/>
      <c r="L132" s="53"/>
      <c r="M132" s="53"/>
      <c r="N132" s="5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row>
    <row r="133" spans="1:54" ht="16.5" customHeight="1">
      <c r="A133" s="3"/>
      <c r="B133" s="3"/>
      <c r="C133" s="3"/>
      <c r="D133" s="3"/>
      <c r="E133" s="3"/>
      <c r="F133" s="3"/>
      <c r="G133" s="3"/>
      <c r="H133" s="3"/>
      <c r="I133" s="53"/>
      <c r="J133" s="53"/>
      <c r="K133" s="53"/>
      <c r="L133" s="53"/>
      <c r="M133" s="53"/>
      <c r="N133" s="5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row>
    <row r="134" spans="1:54" ht="16.5" customHeight="1">
      <c r="A134" s="3"/>
      <c r="B134" s="3"/>
      <c r="C134" s="3"/>
      <c r="D134" s="3"/>
      <c r="E134" s="3"/>
      <c r="F134" s="3"/>
      <c r="G134" s="3"/>
      <c r="H134" s="3"/>
      <c r="I134" s="53"/>
      <c r="J134" s="53"/>
      <c r="K134" s="53"/>
      <c r="L134" s="53"/>
      <c r="M134" s="53"/>
      <c r="N134" s="5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row>
    <row r="135" spans="1:54" ht="16.5" customHeight="1">
      <c r="A135" s="3"/>
      <c r="B135" s="3"/>
      <c r="C135" s="3"/>
      <c r="D135" s="3"/>
      <c r="E135" s="3"/>
      <c r="F135" s="3"/>
      <c r="G135" s="3"/>
      <c r="H135" s="3"/>
      <c r="I135" s="53"/>
      <c r="J135" s="53"/>
      <c r="K135" s="53"/>
      <c r="L135" s="53"/>
      <c r="M135" s="53"/>
      <c r="N135" s="5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row>
    <row r="136" spans="1:54" ht="16.5" customHeight="1">
      <c r="A136" s="3"/>
      <c r="B136" s="3"/>
      <c r="C136" s="3"/>
      <c r="D136" s="3"/>
      <c r="E136" s="3"/>
      <c r="F136" s="3"/>
      <c r="G136" s="3"/>
      <c r="H136" s="3"/>
      <c r="I136" s="53"/>
      <c r="J136" s="53"/>
      <c r="K136" s="53"/>
      <c r="L136" s="53"/>
      <c r="M136" s="53"/>
      <c r="N136" s="5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row>
    <row r="137" spans="1:54" ht="16.5" customHeight="1">
      <c r="A137" s="3"/>
      <c r="B137" s="3"/>
      <c r="C137" s="3"/>
      <c r="D137" s="3"/>
      <c r="E137" s="3"/>
      <c r="F137" s="3"/>
      <c r="G137" s="3"/>
      <c r="H137" s="3"/>
      <c r="I137" s="53"/>
      <c r="J137" s="53"/>
      <c r="K137" s="53"/>
      <c r="L137" s="53"/>
      <c r="M137" s="53"/>
      <c r="N137" s="5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row>
    <row r="138" spans="1:54" ht="16.5" customHeight="1">
      <c r="A138" s="3"/>
      <c r="B138" s="3"/>
      <c r="C138" s="3"/>
      <c r="D138" s="3"/>
      <c r="E138" s="3"/>
      <c r="F138" s="3"/>
      <c r="G138" s="3"/>
      <c r="H138" s="3"/>
      <c r="I138" s="53"/>
      <c r="J138" s="53"/>
      <c r="K138" s="53"/>
      <c r="L138" s="53"/>
      <c r="M138" s="53"/>
      <c r="N138" s="5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row>
    <row r="139" spans="1:54" ht="16.5" customHeight="1">
      <c r="A139" s="3"/>
      <c r="B139" s="3"/>
      <c r="C139" s="3"/>
      <c r="D139" s="3"/>
      <c r="E139" s="3"/>
      <c r="F139" s="3"/>
      <c r="G139" s="3"/>
      <c r="H139" s="3"/>
      <c r="I139" s="53"/>
      <c r="J139" s="53"/>
      <c r="K139" s="53"/>
      <c r="L139" s="53"/>
      <c r="M139" s="53"/>
      <c r="N139" s="5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row>
    <row r="140" spans="1:54" ht="16.5" customHeight="1">
      <c r="A140" s="3"/>
      <c r="B140" s="3"/>
      <c r="C140" s="3"/>
      <c r="D140" s="3"/>
      <c r="E140" s="3"/>
      <c r="F140" s="3"/>
      <c r="G140" s="3"/>
      <c r="H140" s="3"/>
      <c r="I140" s="53"/>
      <c r="J140" s="53"/>
      <c r="K140" s="53"/>
      <c r="L140" s="53"/>
      <c r="M140" s="53"/>
      <c r="N140" s="5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row>
    <row r="141" spans="1:54" ht="16.5" customHeight="1">
      <c r="A141" s="3"/>
      <c r="B141" s="3"/>
      <c r="C141" s="3"/>
      <c r="D141" s="3"/>
      <c r="E141" s="3"/>
      <c r="F141" s="3"/>
      <c r="G141" s="3"/>
      <c r="H141" s="3"/>
      <c r="I141" s="53"/>
      <c r="J141" s="53"/>
      <c r="K141" s="53"/>
      <c r="L141" s="53"/>
      <c r="M141" s="53"/>
      <c r="N141" s="5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row>
    <row r="142" spans="1:54" ht="16.5" customHeight="1">
      <c r="A142" s="3"/>
      <c r="B142" s="3"/>
      <c r="C142" s="3"/>
      <c r="D142" s="3"/>
      <c r="E142" s="3"/>
      <c r="F142" s="3"/>
      <c r="G142" s="3"/>
      <c r="H142" s="3"/>
      <c r="I142" s="53"/>
      <c r="J142" s="53"/>
      <c r="K142" s="53"/>
      <c r="L142" s="53"/>
      <c r="M142" s="53"/>
      <c r="N142" s="5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row>
    <row r="143" spans="1:54" ht="16.5" customHeight="1">
      <c r="A143" s="3"/>
      <c r="B143" s="3"/>
      <c r="C143" s="3"/>
      <c r="D143" s="3"/>
      <c r="E143" s="3"/>
      <c r="F143" s="3"/>
      <c r="G143" s="3"/>
      <c r="H143" s="3"/>
      <c r="I143" s="53"/>
      <c r="J143" s="53"/>
      <c r="K143" s="53"/>
      <c r="L143" s="53"/>
      <c r="M143" s="53"/>
      <c r="N143" s="5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row>
    <row r="144" spans="1:54" ht="16.5" customHeight="1">
      <c r="A144" s="3"/>
      <c r="B144" s="3"/>
      <c r="C144" s="3"/>
      <c r="D144" s="3"/>
      <c r="E144" s="3"/>
      <c r="F144" s="3"/>
      <c r="G144" s="3"/>
      <c r="H144" s="3"/>
      <c r="I144" s="53"/>
      <c r="J144" s="53"/>
      <c r="K144" s="53"/>
      <c r="L144" s="53"/>
      <c r="M144" s="53"/>
      <c r="N144" s="5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row>
    <row r="145" spans="1:54" ht="16.5" customHeight="1">
      <c r="A145" s="3"/>
      <c r="B145" s="3"/>
      <c r="C145" s="3"/>
      <c r="D145" s="3"/>
      <c r="E145" s="3"/>
      <c r="F145" s="3"/>
      <c r="G145" s="3"/>
      <c r="H145" s="3"/>
      <c r="I145" s="53"/>
      <c r="J145" s="53"/>
      <c r="K145" s="53"/>
      <c r="L145" s="53"/>
      <c r="M145" s="53"/>
      <c r="N145" s="5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row>
    <row r="146" spans="1:54" ht="16.5" customHeight="1">
      <c r="A146" s="3"/>
      <c r="B146" s="3"/>
      <c r="C146" s="3"/>
      <c r="D146" s="3"/>
      <c r="E146" s="3"/>
      <c r="F146" s="3"/>
      <c r="G146" s="3"/>
      <c r="H146" s="3"/>
      <c r="I146" s="53"/>
      <c r="J146" s="53"/>
      <c r="K146" s="53"/>
      <c r="L146" s="53"/>
      <c r="M146" s="53"/>
      <c r="N146" s="5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row>
    <row r="147" spans="1:54" ht="16.5" customHeight="1">
      <c r="A147" s="3"/>
      <c r="B147" s="3"/>
      <c r="C147" s="3"/>
      <c r="D147" s="3"/>
      <c r="E147" s="3"/>
      <c r="F147" s="3"/>
      <c r="G147" s="3"/>
      <c r="H147" s="3"/>
      <c r="I147" s="53"/>
      <c r="J147" s="53"/>
      <c r="K147" s="53"/>
      <c r="L147" s="53"/>
      <c r="M147" s="53"/>
      <c r="N147" s="5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row>
    <row r="148" spans="1:54" ht="16.5" customHeight="1">
      <c r="A148" s="3"/>
      <c r="B148" s="3"/>
      <c r="C148" s="3"/>
      <c r="D148" s="3"/>
      <c r="E148" s="3"/>
      <c r="F148" s="3"/>
      <c r="G148" s="3"/>
      <c r="H148" s="3"/>
      <c r="I148" s="53"/>
      <c r="J148" s="53"/>
      <c r="K148" s="53"/>
      <c r="L148" s="53"/>
      <c r="M148" s="53"/>
      <c r="N148" s="5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row>
    <row r="149" spans="1:54" ht="16.5" customHeight="1">
      <c r="A149" s="3"/>
      <c r="B149" s="3"/>
      <c r="C149" s="3"/>
      <c r="D149" s="3"/>
      <c r="E149" s="3"/>
      <c r="F149" s="3"/>
      <c r="G149" s="3"/>
      <c r="H149" s="3"/>
      <c r="I149" s="53"/>
      <c r="J149" s="53"/>
      <c r="K149" s="53"/>
      <c r="L149" s="53"/>
      <c r="M149" s="53"/>
      <c r="N149" s="5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row>
    <row r="150" spans="1:54" ht="16.5" customHeight="1">
      <c r="A150" s="3"/>
      <c r="B150" s="3"/>
      <c r="C150" s="3"/>
      <c r="D150" s="3"/>
      <c r="E150" s="3"/>
      <c r="F150" s="3"/>
      <c r="G150" s="3"/>
      <c r="H150" s="3"/>
      <c r="I150" s="53"/>
      <c r="J150" s="53"/>
      <c r="K150" s="53"/>
      <c r="L150" s="53"/>
      <c r="M150" s="53"/>
      <c r="N150" s="5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row>
    <row r="151" spans="1:54" ht="16.5" customHeight="1">
      <c r="A151" s="3"/>
      <c r="B151" s="3"/>
      <c r="C151" s="3"/>
      <c r="D151" s="3"/>
      <c r="E151" s="3"/>
      <c r="F151" s="3"/>
      <c r="G151" s="3"/>
      <c r="H151" s="3"/>
      <c r="I151" s="53"/>
      <c r="J151" s="53"/>
      <c r="K151" s="53"/>
      <c r="L151" s="53"/>
      <c r="M151" s="53"/>
      <c r="N151" s="5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row>
    <row r="152" spans="1:54" ht="16.5" customHeight="1">
      <c r="A152" s="3"/>
      <c r="B152" s="3"/>
      <c r="C152" s="3"/>
      <c r="D152" s="3"/>
      <c r="E152" s="3"/>
      <c r="F152" s="3"/>
      <c r="G152" s="3"/>
      <c r="H152" s="3"/>
      <c r="I152" s="53"/>
      <c r="J152" s="53"/>
      <c r="K152" s="53"/>
      <c r="L152" s="53"/>
      <c r="M152" s="53"/>
      <c r="N152" s="5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row>
    <row r="153" spans="1:54" ht="16.5" customHeight="1">
      <c r="A153" s="3"/>
      <c r="B153" s="3"/>
      <c r="C153" s="3"/>
      <c r="D153" s="3"/>
      <c r="E153" s="3"/>
      <c r="F153" s="3"/>
      <c r="G153" s="3"/>
      <c r="H153" s="3"/>
      <c r="I153" s="53"/>
      <c r="J153" s="53"/>
      <c r="K153" s="53"/>
      <c r="L153" s="53"/>
      <c r="M153" s="53"/>
      <c r="N153" s="5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row>
    <row r="154" spans="1:54" ht="16.5" customHeight="1">
      <c r="A154" s="3"/>
      <c r="B154" s="3"/>
      <c r="C154" s="3"/>
      <c r="D154" s="3"/>
      <c r="E154" s="3"/>
      <c r="F154" s="3"/>
      <c r="G154" s="3"/>
      <c r="H154" s="3"/>
      <c r="I154" s="53"/>
      <c r="J154" s="53"/>
      <c r="K154" s="53"/>
      <c r="L154" s="53"/>
      <c r="M154" s="53"/>
      <c r="N154" s="5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row>
    <row r="155" spans="1:54" ht="16.5" customHeight="1">
      <c r="A155" s="3"/>
      <c r="B155" s="3"/>
      <c r="C155" s="3"/>
      <c r="D155" s="3"/>
      <c r="E155" s="3"/>
      <c r="F155" s="3"/>
      <c r="G155" s="3"/>
      <c r="H155" s="3"/>
      <c r="I155" s="53"/>
      <c r="J155" s="53"/>
      <c r="K155" s="53"/>
      <c r="L155" s="53"/>
      <c r="M155" s="53"/>
      <c r="N155" s="5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row>
    <row r="156" spans="1:54" ht="16.5" customHeight="1">
      <c r="A156" s="3"/>
      <c r="B156" s="3"/>
      <c r="C156" s="3"/>
      <c r="D156" s="3"/>
      <c r="E156" s="3"/>
      <c r="F156" s="3"/>
      <c r="G156" s="3"/>
      <c r="H156" s="3"/>
      <c r="I156" s="53"/>
      <c r="J156" s="53"/>
      <c r="K156" s="53"/>
      <c r="L156" s="53"/>
      <c r="M156" s="53"/>
      <c r="N156" s="5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row>
    <row r="157" spans="1:54" ht="16.5" customHeight="1">
      <c r="A157" s="3"/>
      <c r="B157" s="3"/>
      <c r="C157" s="3"/>
      <c r="D157" s="3"/>
      <c r="E157" s="3"/>
      <c r="F157" s="3"/>
      <c r="G157" s="3"/>
      <c r="H157" s="3"/>
      <c r="I157" s="53"/>
      <c r="J157" s="53"/>
      <c r="K157" s="53"/>
      <c r="L157" s="53"/>
      <c r="M157" s="53"/>
      <c r="N157" s="5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row>
    <row r="158" spans="1:54" ht="16.5" customHeight="1">
      <c r="A158" s="3"/>
      <c r="B158" s="3"/>
      <c r="C158" s="3"/>
      <c r="D158" s="3"/>
      <c r="E158" s="3"/>
      <c r="F158" s="3"/>
      <c r="G158" s="3"/>
      <c r="H158" s="3"/>
      <c r="I158" s="53"/>
      <c r="J158" s="53"/>
      <c r="K158" s="53"/>
      <c r="L158" s="53"/>
      <c r="M158" s="53"/>
      <c r="N158" s="5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row>
    <row r="159" spans="1:54" ht="16.5" customHeight="1">
      <c r="A159" s="3"/>
      <c r="B159" s="3"/>
      <c r="C159" s="3"/>
      <c r="D159" s="3"/>
      <c r="E159" s="3"/>
      <c r="F159" s="3"/>
      <c r="G159" s="3"/>
      <c r="H159" s="3"/>
      <c r="I159" s="53"/>
      <c r="J159" s="53"/>
      <c r="K159" s="53"/>
      <c r="L159" s="53"/>
      <c r="M159" s="53"/>
      <c r="N159" s="5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row>
    <row r="160" spans="1:54" ht="16.5" customHeight="1">
      <c r="A160" s="3"/>
      <c r="B160" s="3"/>
      <c r="C160" s="3"/>
      <c r="D160" s="3"/>
      <c r="E160" s="3"/>
      <c r="F160" s="3"/>
      <c r="G160" s="3"/>
      <c r="H160" s="3"/>
      <c r="I160" s="53"/>
      <c r="J160" s="53"/>
      <c r="K160" s="53"/>
      <c r="L160" s="53"/>
      <c r="M160" s="53"/>
      <c r="N160" s="5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row>
    <row r="161" spans="1:54" ht="16.5" customHeight="1">
      <c r="A161" s="3"/>
      <c r="B161" s="3"/>
      <c r="C161" s="3"/>
      <c r="D161" s="3"/>
      <c r="E161" s="3"/>
      <c r="F161" s="3"/>
      <c r="G161" s="3"/>
      <c r="H161" s="3"/>
      <c r="I161" s="53"/>
      <c r="J161" s="53"/>
      <c r="K161" s="53"/>
      <c r="L161" s="53"/>
      <c r="M161" s="53"/>
      <c r="N161" s="5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row>
    <row r="162" spans="1:54" ht="16.5" customHeight="1">
      <c r="A162" s="3"/>
      <c r="B162" s="3"/>
      <c r="C162" s="3"/>
      <c r="D162" s="3"/>
      <c r="E162" s="3"/>
      <c r="F162" s="3"/>
      <c r="G162" s="3"/>
      <c r="H162" s="3"/>
      <c r="I162" s="53"/>
      <c r="J162" s="53"/>
      <c r="K162" s="53"/>
      <c r="L162" s="53"/>
      <c r="M162" s="53"/>
      <c r="N162" s="5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row>
    <row r="163" spans="1:54" ht="16.5" customHeight="1">
      <c r="A163" s="3"/>
      <c r="B163" s="3"/>
      <c r="C163" s="3"/>
      <c r="D163" s="3"/>
      <c r="E163" s="3"/>
      <c r="F163" s="3"/>
      <c r="G163" s="3"/>
      <c r="H163" s="3"/>
      <c r="I163" s="53"/>
      <c r="J163" s="53"/>
      <c r="K163" s="53"/>
      <c r="L163" s="53"/>
      <c r="M163" s="53"/>
      <c r="N163" s="5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row>
    <row r="164" spans="1:54" ht="16.5" customHeight="1">
      <c r="A164" s="3"/>
      <c r="B164" s="3"/>
      <c r="C164" s="3"/>
      <c r="D164" s="3"/>
      <c r="E164" s="3"/>
      <c r="F164" s="3"/>
      <c r="G164" s="3"/>
      <c r="H164" s="3"/>
      <c r="I164" s="53"/>
      <c r="J164" s="53"/>
      <c r="K164" s="53"/>
      <c r="L164" s="53"/>
      <c r="M164" s="53"/>
      <c r="N164" s="5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row>
    <row r="165" spans="1:54" ht="16.5" customHeight="1">
      <c r="A165" s="3"/>
      <c r="B165" s="3"/>
      <c r="C165" s="3"/>
      <c r="D165" s="3"/>
      <c r="E165" s="3"/>
      <c r="F165" s="3"/>
      <c r="G165" s="3"/>
      <c r="H165" s="3"/>
      <c r="I165" s="53"/>
      <c r="J165" s="53"/>
      <c r="K165" s="53"/>
      <c r="L165" s="53"/>
      <c r="M165" s="53"/>
      <c r="N165" s="5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row>
    <row r="166" spans="1:54" ht="16.5" customHeight="1">
      <c r="A166" s="3"/>
      <c r="B166" s="3"/>
      <c r="C166" s="3"/>
      <c r="D166" s="3"/>
      <c r="E166" s="3"/>
      <c r="F166" s="3"/>
      <c r="G166" s="3"/>
      <c r="H166" s="3"/>
      <c r="I166" s="53"/>
      <c r="J166" s="53"/>
      <c r="K166" s="53"/>
      <c r="L166" s="53"/>
      <c r="M166" s="53"/>
      <c r="N166" s="5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row>
    <row r="167" spans="1:54" ht="16.5" customHeight="1">
      <c r="A167" s="3"/>
      <c r="B167" s="3"/>
      <c r="C167" s="3"/>
      <c r="D167" s="3"/>
      <c r="E167" s="3"/>
      <c r="F167" s="3"/>
      <c r="G167" s="3"/>
      <c r="H167" s="3"/>
      <c r="I167" s="53"/>
      <c r="J167" s="53"/>
      <c r="K167" s="53"/>
      <c r="L167" s="53"/>
      <c r="M167" s="53"/>
      <c r="N167" s="5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row>
    <row r="168" spans="1:54" ht="16.5" customHeight="1">
      <c r="A168" s="3"/>
      <c r="B168" s="3"/>
      <c r="C168" s="3"/>
      <c r="D168" s="3"/>
      <c r="E168" s="3"/>
      <c r="F168" s="3"/>
      <c r="G168" s="3"/>
      <c r="H168" s="3"/>
      <c r="I168" s="53"/>
      <c r="J168" s="53"/>
      <c r="K168" s="53"/>
      <c r="L168" s="53"/>
      <c r="M168" s="53"/>
      <c r="N168" s="5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row>
    <row r="169" spans="1:54" ht="16.5" customHeight="1">
      <c r="A169" s="3"/>
      <c r="B169" s="3"/>
      <c r="C169" s="3"/>
      <c r="D169" s="3"/>
      <c r="E169" s="3"/>
      <c r="F169" s="3"/>
      <c r="G169" s="3"/>
      <c r="H169" s="3"/>
      <c r="I169" s="53"/>
      <c r="J169" s="53"/>
      <c r="K169" s="53"/>
      <c r="L169" s="53"/>
      <c r="M169" s="53"/>
      <c r="N169" s="5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row>
    <row r="170" spans="1:54" ht="16.5" customHeight="1">
      <c r="A170" s="3"/>
      <c r="B170" s="3"/>
      <c r="C170" s="3"/>
      <c r="D170" s="3"/>
      <c r="E170" s="3"/>
      <c r="F170" s="3"/>
      <c r="G170" s="3"/>
      <c r="H170" s="3"/>
      <c r="I170" s="53"/>
      <c r="J170" s="53"/>
      <c r="K170" s="53"/>
      <c r="L170" s="53"/>
      <c r="M170" s="53"/>
      <c r="N170" s="5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row>
    <row r="171" spans="1:54" ht="16.5" customHeight="1">
      <c r="A171" s="3"/>
      <c r="B171" s="3"/>
      <c r="C171" s="3"/>
      <c r="D171" s="3"/>
      <c r="E171" s="3"/>
      <c r="F171" s="3"/>
      <c r="G171" s="3"/>
      <c r="H171" s="3"/>
      <c r="I171" s="53"/>
      <c r="J171" s="53"/>
      <c r="K171" s="53"/>
      <c r="L171" s="53"/>
      <c r="M171" s="53"/>
      <c r="N171" s="5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row>
    <row r="172" spans="1:54" ht="16.5" customHeight="1">
      <c r="A172" s="3"/>
      <c r="B172" s="3"/>
      <c r="C172" s="3"/>
      <c r="D172" s="3"/>
      <c r="E172" s="3"/>
      <c r="F172" s="3"/>
      <c r="G172" s="3"/>
      <c r="H172" s="3"/>
      <c r="I172" s="53"/>
      <c r="J172" s="53"/>
      <c r="K172" s="53"/>
      <c r="L172" s="53"/>
      <c r="M172" s="53"/>
      <c r="N172" s="5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row>
    <row r="173" spans="1:54" ht="16.5" customHeight="1">
      <c r="A173" s="3"/>
      <c r="B173" s="3"/>
      <c r="C173" s="3"/>
      <c r="D173" s="3"/>
      <c r="E173" s="3"/>
      <c r="F173" s="3"/>
      <c r="G173" s="3"/>
      <c r="H173" s="3"/>
      <c r="I173" s="53"/>
      <c r="J173" s="53"/>
      <c r="K173" s="53"/>
      <c r="L173" s="53"/>
      <c r="M173" s="53"/>
      <c r="N173" s="5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row>
    <row r="174" spans="1:54" ht="16.5" customHeight="1">
      <c r="A174" s="3"/>
      <c r="B174" s="3"/>
      <c r="C174" s="3"/>
      <c r="D174" s="3"/>
      <c r="E174" s="3"/>
      <c r="F174" s="3"/>
      <c r="G174" s="3"/>
      <c r="H174" s="3"/>
      <c r="I174" s="53"/>
      <c r="J174" s="53"/>
      <c r="K174" s="53"/>
      <c r="L174" s="53"/>
      <c r="M174" s="53"/>
      <c r="N174" s="5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row>
    <row r="175" spans="1:54" ht="16.5" customHeight="1">
      <c r="A175" s="3"/>
      <c r="B175" s="3"/>
      <c r="C175" s="3"/>
      <c r="D175" s="3"/>
      <c r="E175" s="3"/>
      <c r="F175" s="3"/>
      <c r="G175" s="3"/>
      <c r="H175" s="3"/>
      <c r="I175" s="53"/>
      <c r="J175" s="53"/>
      <c r="K175" s="53"/>
      <c r="L175" s="53"/>
      <c r="M175" s="53"/>
      <c r="N175" s="5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row>
    <row r="176" spans="1:54" ht="16.5" customHeight="1">
      <c r="A176" s="3"/>
      <c r="B176" s="3"/>
      <c r="C176" s="3"/>
      <c r="D176" s="3"/>
      <c r="E176" s="3"/>
      <c r="F176" s="3"/>
      <c r="G176" s="3"/>
      <c r="H176" s="3"/>
      <c r="I176" s="53"/>
      <c r="J176" s="53"/>
      <c r="K176" s="53"/>
      <c r="L176" s="53"/>
      <c r="M176" s="53"/>
      <c r="N176" s="5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row>
    <row r="177" spans="1:54" ht="16.5" customHeight="1">
      <c r="A177" s="3"/>
      <c r="B177" s="3"/>
      <c r="C177" s="3"/>
      <c r="D177" s="3"/>
      <c r="E177" s="3"/>
      <c r="F177" s="3"/>
      <c r="G177" s="3"/>
      <c r="H177" s="3"/>
      <c r="I177" s="53"/>
      <c r="J177" s="53"/>
      <c r="K177" s="53"/>
      <c r="L177" s="53"/>
      <c r="M177" s="53"/>
      <c r="N177" s="5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row>
    <row r="178" spans="1:54" ht="16.5" customHeight="1">
      <c r="A178" s="3"/>
      <c r="B178" s="3"/>
      <c r="C178" s="3"/>
      <c r="D178" s="3"/>
      <c r="E178" s="3"/>
      <c r="F178" s="3"/>
      <c r="G178" s="3"/>
      <c r="H178" s="3"/>
      <c r="I178" s="53"/>
      <c r="J178" s="53"/>
      <c r="K178" s="53"/>
      <c r="L178" s="53"/>
      <c r="M178" s="53"/>
      <c r="N178" s="5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row>
    <row r="179" spans="1:54" ht="16.5" customHeight="1">
      <c r="A179" s="3"/>
      <c r="B179" s="3"/>
      <c r="C179" s="3"/>
      <c r="D179" s="3"/>
      <c r="E179" s="3"/>
      <c r="F179" s="3"/>
      <c r="G179" s="3"/>
      <c r="H179" s="3"/>
      <c r="I179" s="53"/>
      <c r="J179" s="53"/>
      <c r="K179" s="53"/>
      <c r="L179" s="53"/>
      <c r="M179" s="53"/>
      <c r="N179" s="5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row>
    <row r="180" spans="1:54" ht="16.5" customHeight="1">
      <c r="A180" s="3"/>
      <c r="B180" s="3"/>
      <c r="C180" s="3"/>
      <c r="D180" s="3"/>
      <c r="E180" s="3"/>
      <c r="F180" s="3"/>
      <c r="G180" s="3"/>
      <c r="H180" s="3"/>
      <c r="I180" s="53"/>
      <c r="J180" s="53"/>
      <c r="K180" s="53"/>
      <c r="L180" s="53"/>
      <c r="M180" s="53"/>
      <c r="N180" s="5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row>
    <row r="181" spans="1:54" ht="16.5" customHeight="1">
      <c r="A181" s="3"/>
      <c r="B181" s="3"/>
      <c r="C181" s="3"/>
      <c r="D181" s="3"/>
      <c r="E181" s="3"/>
      <c r="F181" s="3"/>
      <c r="G181" s="3"/>
      <c r="H181" s="3"/>
      <c r="I181" s="53"/>
      <c r="J181" s="53"/>
      <c r="K181" s="53"/>
      <c r="L181" s="53"/>
      <c r="M181" s="53"/>
      <c r="N181" s="5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row>
    <row r="182" spans="1:54" ht="16.5" customHeight="1">
      <c r="A182" s="3"/>
      <c r="B182" s="3"/>
      <c r="C182" s="3"/>
      <c r="D182" s="3"/>
      <c r="E182" s="3"/>
      <c r="F182" s="3"/>
      <c r="G182" s="3"/>
      <c r="H182" s="3"/>
      <c r="I182" s="53"/>
      <c r="J182" s="53"/>
      <c r="K182" s="53"/>
      <c r="L182" s="53"/>
      <c r="M182" s="53"/>
      <c r="N182" s="5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row>
    <row r="183" spans="1:54" ht="16.5" customHeight="1">
      <c r="A183" s="3"/>
      <c r="B183" s="3"/>
      <c r="C183" s="3"/>
      <c r="D183" s="3"/>
      <c r="E183" s="3"/>
      <c r="F183" s="3"/>
      <c r="G183" s="3"/>
      <c r="H183" s="3"/>
      <c r="I183" s="53"/>
      <c r="J183" s="53"/>
      <c r="K183" s="53"/>
      <c r="L183" s="53"/>
      <c r="M183" s="53"/>
      <c r="N183" s="5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row>
    <row r="184" spans="1:54" ht="16.5" customHeight="1">
      <c r="A184" s="3"/>
      <c r="B184" s="3"/>
      <c r="C184" s="3"/>
      <c r="D184" s="3"/>
      <c r="E184" s="3"/>
      <c r="F184" s="3"/>
      <c r="G184" s="3"/>
      <c r="H184" s="3"/>
      <c r="I184" s="53"/>
      <c r="J184" s="53"/>
      <c r="K184" s="53"/>
      <c r="L184" s="53"/>
      <c r="M184" s="53"/>
      <c r="N184" s="5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row>
    <row r="185" spans="1:54" ht="16.5" customHeight="1">
      <c r="A185" s="3"/>
      <c r="B185" s="3"/>
      <c r="C185" s="3"/>
      <c r="D185" s="3"/>
      <c r="E185" s="3"/>
      <c r="F185" s="3"/>
      <c r="G185" s="3"/>
      <c r="H185" s="3"/>
      <c r="I185" s="53"/>
      <c r="J185" s="53"/>
      <c r="K185" s="53"/>
      <c r="L185" s="53"/>
      <c r="M185" s="53"/>
      <c r="N185" s="5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row>
    <row r="186" spans="1:54" ht="16.5" customHeight="1">
      <c r="A186" s="3"/>
      <c r="B186" s="3"/>
      <c r="C186" s="3"/>
      <c r="D186" s="3"/>
      <c r="E186" s="3"/>
      <c r="F186" s="3"/>
      <c r="G186" s="3"/>
      <c r="H186" s="3"/>
      <c r="I186" s="53"/>
      <c r="J186" s="53"/>
      <c r="K186" s="53"/>
      <c r="L186" s="53"/>
      <c r="M186" s="53"/>
      <c r="N186" s="5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row>
    <row r="187" spans="1:54" ht="16.5" customHeight="1">
      <c r="A187" s="3"/>
      <c r="B187" s="3"/>
      <c r="C187" s="3"/>
      <c r="D187" s="3"/>
      <c r="E187" s="3"/>
      <c r="F187" s="3"/>
      <c r="G187" s="3"/>
      <c r="H187" s="3"/>
      <c r="I187" s="53"/>
      <c r="J187" s="53"/>
      <c r="K187" s="53"/>
      <c r="L187" s="53"/>
      <c r="M187" s="53"/>
      <c r="N187" s="5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row>
    <row r="188" spans="1:54" ht="16.5" customHeight="1">
      <c r="A188" s="3"/>
      <c r="B188" s="3"/>
      <c r="C188" s="3"/>
      <c r="D188" s="3"/>
      <c r="E188" s="3"/>
      <c r="F188" s="3"/>
      <c r="G188" s="3"/>
      <c r="H188" s="3"/>
      <c r="I188" s="53"/>
      <c r="J188" s="53"/>
      <c r="K188" s="53"/>
      <c r="L188" s="53"/>
      <c r="M188" s="53"/>
      <c r="N188" s="5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row>
    <row r="189" spans="1:54" ht="16.5" customHeight="1">
      <c r="A189" s="3"/>
      <c r="B189" s="3"/>
      <c r="C189" s="3"/>
      <c r="D189" s="3"/>
      <c r="E189" s="3"/>
      <c r="F189" s="3"/>
      <c r="G189" s="3"/>
      <c r="H189" s="3"/>
      <c r="I189" s="53"/>
      <c r="J189" s="53"/>
      <c r="K189" s="53"/>
      <c r="L189" s="53"/>
      <c r="M189" s="53"/>
      <c r="N189" s="5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row>
    <row r="190" spans="1:54" ht="16.5" customHeight="1">
      <c r="A190" s="3"/>
      <c r="B190" s="3"/>
      <c r="C190" s="3"/>
      <c r="D190" s="3"/>
      <c r="E190" s="3"/>
      <c r="F190" s="3"/>
      <c r="G190" s="3"/>
      <c r="H190" s="3"/>
      <c r="I190" s="53"/>
      <c r="J190" s="53"/>
      <c r="K190" s="53"/>
      <c r="L190" s="53"/>
      <c r="M190" s="53"/>
      <c r="N190" s="5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row>
    <row r="191" spans="1:54" ht="16.5" customHeight="1">
      <c r="A191" s="3"/>
      <c r="B191" s="3"/>
      <c r="C191" s="3"/>
      <c r="D191" s="3"/>
      <c r="E191" s="3"/>
      <c r="F191" s="3"/>
      <c r="G191" s="3"/>
      <c r="H191" s="3"/>
      <c r="I191" s="53"/>
      <c r="J191" s="53"/>
      <c r="K191" s="53"/>
      <c r="L191" s="53"/>
      <c r="M191" s="53"/>
      <c r="N191" s="5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row>
    <row r="192" spans="1:54" ht="16.5" customHeight="1">
      <c r="A192" s="3"/>
      <c r="B192" s="3"/>
      <c r="C192" s="3"/>
      <c r="D192" s="3"/>
      <c r="E192" s="3"/>
      <c r="F192" s="3"/>
      <c r="G192" s="3"/>
      <c r="H192" s="3"/>
      <c r="I192" s="53"/>
      <c r="J192" s="53"/>
      <c r="K192" s="53"/>
      <c r="L192" s="53"/>
      <c r="M192" s="53"/>
      <c r="N192" s="5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row>
    <row r="193" spans="1:54" ht="16.5" customHeight="1">
      <c r="A193" s="3"/>
      <c r="B193" s="3"/>
      <c r="C193" s="3"/>
      <c r="D193" s="3"/>
      <c r="E193" s="3"/>
      <c r="F193" s="3"/>
      <c r="G193" s="3"/>
      <c r="H193" s="3"/>
      <c r="I193" s="53"/>
      <c r="J193" s="53"/>
      <c r="K193" s="53"/>
      <c r="L193" s="53"/>
      <c r="M193" s="53"/>
      <c r="N193" s="5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row>
    <row r="194" spans="1:54" ht="16.5" customHeight="1">
      <c r="A194" s="3"/>
      <c r="B194" s="3"/>
      <c r="C194" s="3"/>
      <c r="D194" s="3"/>
      <c r="E194" s="3"/>
      <c r="F194" s="3"/>
      <c r="G194" s="3"/>
      <c r="H194" s="3"/>
      <c r="I194" s="53"/>
      <c r="J194" s="53"/>
      <c r="K194" s="53"/>
      <c r="L194" s="53"/>
      <c r="M194" s="53"/>
      <c r="N194" s="5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row>
    <row r="195" spans="1:54" ht="16.5" customHeight="1">
      <c r="A195" s="3"/>
      <c r="B195" s="3"/>
      <c r="C195" s="3"/>
      <c r="D195" s="3"/>
      <c r="E195" s="3"/>
      <c r="F195" s="3"/>
      <c r="G195" s="3"/>
      <c r="H195" s="3"/>
      <c r="I195" s="53"/>
      <c r="J195" s="53"/>
      <c r="K195" s="53"/>
      <c r="L195" s="53"/>
      <c r="M195" s="53"/>
      <c r="N195" s="5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row>
    <row r="196" spans="1:54" ht="16.5" customHeight="1">
      <c r="A196" s="3"/>
      <c r="B196" s="3"/>
      <c r="C196" s="3"/>
      <c r="D196" s="3"/>
      <c r="E196" s="3"/>
      <c r="F196" s="3"/>
      <c r="G196" s="3"/>
      <c r="H196" s="3"/>
      <c r="I196" s="53"/>
      <c r="J196" s="53"/>
      <c r="K196" s="53"/>
      <c r="L196" s="53"/>
      <c r="M196" s="53"/>
      <c r="N196" s="5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row>
    <row r="197" spans="1:54" ht="16.5" customHeight="1">
      <c r="A197" s="3"/>
      <c r="B197" s="3"/>
      <c r="C197" s="3"/>
      <c r="D197" s="3"/>
      <c r="E197" s="3"/>
      <c r="F197" s="3"/>
      <c r="G197" s="3"/>
      <c r="H197" s="3"/>
      <c r="I197" s="53"/>
      <c r="J197" s="53"/>
      <c r="K197" s="53"/>
      <c r="L197" s="53"/>
      <c r="M197" s="53"/>
      <c r="N197" s="5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row>
    <row r="198" spans="1:54" ht="16.5" customHeight="1">
      <c r="A198" s="3"/>
      <c r="B198" s="3"/>
      <c r="C198" s="3"/>
      <c r="D198" s="3"/>
      <c r="E198" s="3"/>
      <c r="F198" s="3"/>
      <c r="G198" s="3"/>
      <c r="H198" s="3"/>
      <c r="I198" s="53"/>
      <c r="J198" s="53"/>
      <c r="K198" s="53"/>
      <c r="L198" s="53"/>
      <c r="M198" s="53"/>
      <c r="N198" s="5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row>
    <row r="199" spans="1:54" ht="16.5" customHeight="1">
      <c r="A199" s="3"/>
      <c r="B199" s="3"/>
      <c r="C199" s="3"/>
      <c r="D199" s="3"/>
      <c r="E199" s="3"/>
      <c r="F199" s="3"/>
      <c r="G199" s="3"/>
      <c r="H199" s="3"/>
      <c r="I199" s="53"/>
      <c r="J199" s="53"/>
      <c r="K199" s="53"/>
      <c r="L199" s="53"/>
      <c r="M199" s="53"/>
      <c r="N199" s="5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row>
    <row r="200" spans="1:54" ht="16.5" customHeight="1">
      <c r="A200" s="3"/>
      <c r="B200" s="3"/>
      <c r="C200" s="3"/>
      <c r="D200" s="3"/>
      <c r="E200" s="3"/>
      <c r="F200" s="3"/>
      <c r="G200" s="3"/>
      <c r="H200" s="3"/>
      <c r="I200" s="53"/>
      <c r="J200" s="53"/>
      <c r="K200" s="53"/>
      <c r="L200" s="53"/>
      <c r="M200" s="53"/>
      <c r="N200" s="5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row>
    <row r="201" spans="1:54" ht="16.5" customHeight="1">
      <c r="A201" s="3"/>
      <c r="B201" s="3"/>
      <c r="C201" s="3"/>
      <c r="D201" s="3"/>
      <c r="E201" s="3"/>
      <c r="F201" s="3"/>
      <c r="G201" s="3"/>
      <c r="H201" s="3"/>
      <c r="I201" s="53"/>
      <c r="J201" s="53"/>
      <c r="K201" s="53"/>
      <c r="L201" s="53"/>
      <c r="M201" s="53"/>
      <c r="N201" s="5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row>
    <row r="202" spans="1:54" ht="16.5" customHeight="1">
      <c r="A202" s="3"/>
      <c r="B202" s="3"/>
      <c r="C202" s="3"/>
      <c r="D202" s="3"/>
      <c r="E202" s="3"/>
      <c r="F202" s="3"/>
      <c r="G202" s="3"/>
      <c r="H202" s="3"/>
      <c r="I202" s="53"/>
      <c r="J202" s="53"/>
      <c r="K202" s="53"/>
      <c r="L202" s="53"/>
      <c r="M202" s="53"/>
      <c r="N202" s="5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row>
    <row r="203" spans="1:54" ht="16.5" customHeight="1">
      <c r="A203" s="3"/>
      <c r="B203" s="3"/>
      <c r="C203" s="3"/>
      <c r="D203" s="3"/>
      <c r="E203" s="3"/>
      <c r="F203" s="3"/>
      <c r="G203" s="3"/>
      <c r="H203" s="3"/>
      <c r="I203" s="53"/>
      <c r="J203" s="53"/>
      <c r="K203" s="53"/>
      <c r="L203" s="53"/>
      <c r="M203" s="53"/>
      <c r="N203" s="5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row>
    <row r="204" spans="1:54" ht="16.5" customHeight="1">
      <c r="A204" s="3"/>
      <c r="B204" s="3"/>
      <c r="C204" s="3"/>
      <c r="D204" s="3"/>
      <c r="E204" s="3"/>
      <c r="F204" s="3"/>
      <c r="G204" s="3"/>
      <c r="H204" s="3"/>
      <c r="I204" s="53"/>
      <c r="J204" s="53"/>
      <c r="K204" s="53"/>
      <c r="L204" s="53"/>
      <c r="M204" s="53"/>
      <c r="N204" s="5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row>
    <row r="205" spans="1:54" ht="16.5" customHeight="1">
      <c r="A205" s="3"/>
      <c r="B205" s="3"/>
      <c r="C205" s="3"/>
      <c r="D205" s="3"/>
      <c r="E205" s="3"/>
      <c r="F205" s="3"/>
      <c r="G205" s="3"/>
      <c r="H205" s="3"/>
      <c r="I205" s="53"/>
      <c r="J205" s="53"/>
      <c r="K205" s="53"/>
      <c r="L205" s="53"/>
      <c r="M205" s="53"/>
      <c r="N205" s="5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row>
    <row r="206" spans="1:54" ht="16.5" customHeight="1">
      <c r="A206" s="3"/>
      <c r="B206" s="3"/>
      <c r="C206" s="3"/>
      <c r="D206" s="3"/>
      <c r="E206" s="3"/>
      <c r="F206" s="3"/>
      <c r="G206" s="3"/>
      <c r="H206" s="3"/>
      <c r="I206" s="53"/>
      <c r="J206" s="53"/>
      <c r="K206" s="53"/>
      <c r="L206" s="53"/>
      <c r="M206" s="53"/>
      <c r="N206" s="5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row>
    <row r="207" spans="1:54" ht="16.5" customHeight="1">
      <c r="A207" s="3"/>
      <c r="B207" s="3"/>
      <c r="C207" s="3"/>
      <c r="D207" s="3"/>
      <c r="E207" s="3"/>
      <c r="F207" s="3"/>
      <c r="G207" s="3"/>
      <c r="H207" s="3"/>
      <c r="I207" s="53"/>
      <c r="J207" s="53"/>
      <c r="K207" s="53"/>
      <c r="L207" s="53"/>
      <c r="M207" s="53"/>
      <c r="N207" s="5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row>
    <row r="208" spans="1:54" ht="16.5" customHeight="1">
      <c r="A208" s="3"/>
      <c r="B208" s="3"/>
      <c r="C208" s="3"/>
      <c r="D208" s="3"/>
      <c r="E208" s="3"/>
      <c r="F208" s="3"/>
      <c r="G208" s="3"/>
      <c r="H208" s="3"/>
      <c r="I208" s="53"/>
      <c r="J208" s="53"/>
      <c r="K208" s="53"/>
      <c r="L208" s="53"/>
      <c r="M208" s="53"/>
      <c r="N208" s="5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row>
    <row r="209" spans="1:54" ht="16.5" customHeight="1">
      <c r="A209" s="3"/>
      <c r="B209" s="3"/>
      <c r="C209" s="3"/>
      <c r="D209" s="3"/>
      <c r="E209" s="3"/>
      <c r="F209" s="3"/>
      <c r="G209" s="3"/>
      <c r="H209" s="3"/>
      <c r="I209" s="53"/>
      <c r="J209" s="53"/>
      <c r="K209" s="53"/>
      <c r="L209" s="53"/>
      <c r="M209" s="53"/>
      <c r="N209" s="5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row>
    <row r="210" spans="1:54" ht="16.5" customHeight="1">
      <c r="A210" s="3"/>
      <c r="B210" s="3"/>
      <c r="C210" s="3"/>
      <c r="D210" s="3"/>
      <c r="E210" s="3"/>
      <c r="F210" s="3"/>
      <c r="G210" s="3"/>
      <c r="H210" s="3"/>
      <c r="I210" s="53"/>
      <c r="J210" s="53"/>
      <c r="K210" s="53"/>
      <c r="L210" s="53"/>
      <c r="M210" s="53"/>
      <c r="N210" s="5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row>
    <row r="211" spans="1:54" ht="16.5" customHeight="1">
      <c r="A211" s="3"/>
      <c r="B211" s="3"/>
      <c r="C211" s="3"/>
      <c r="D211" s="3"/>
      <c r="E211" s="3"/>
      <c r="F211" s="3"/>
      <c r="G211" s="3"/>
      <c r="H211" s="3"/>
      <c r="I211" s="53"/>
      <c r="J211" s="53"/>
      <c r="K211" s="53"/>
      <c r="L211" s="53"/>
      <c r="M211" s="53"/>
      <c r="N211" s="5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row>
    <row r="212" spans="1:54" ht="16.5" customHeight="1">
      <c r="A212" s="3"/>
      <c r="B212" s="3"/>
      <c r="C212" s="3"/>
      <c r="D212" s="3"/>
      <c r="E212" s="3"/>
      <c r="F212" s="3"/>
      <c r="G212" s="3"/>
      <c r="H212" s="3"/>
      <c r="I212" s="53"/>
      <c r="J212" s="53"/>
      <c r="K212" s="53"/>
      <c r="L212" s="53"/>
      <c r="M212" s="53"/>
      <c r="N212" s="5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row>
    <row r="213" spans="1:54" ht="16.5" customHeight="1">
      <c r="A213" s="3"/>
      <c r="B213" s="3"/>
      <c r="C213" s="3"/>
      <c r="D213" s="3"/>
      <c r="E213" s="3"/>
      <c r="F213" s="3"/>
      <c r="G213" s="3"/>
      <c r="H213" s="3"/>
      <c r="I213" s="53"/>
      <c r="J213" s="53"/>
      <c r="K213" s="53"/>
      <c r="L213" s="53"/>
      <c r="M213" s="53"/>
      <c r="N213" s="5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row>
    <row r="214" spans="1:54" ht="16.5" customHeight="1">
      <c r="A214" s="3"/>
      <c r="B214" s="3"/>
      <c r="C214" s="3"/>
      <c r="D214" s="3"/>
      <c r="E214" s="3"/>
      <c r="F214" s="3"/>
      <c r="G214" s="3"/>
      <c r="H214" s="3"/>
      <c r="I214" s="53"/>
      <c r="J214" s="53"/>
      <c r="K214" s="53"/>
      <c r="L214" s="53"/>
      <c r="M214" s="53"/>
      <c r="N214" s="5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row>
    <row r="215" spans="1:54" ht="16.5" customHeight="1">
      <c r="A215" s="3"/>
      <c r="B215" s="3"/>
      <c r="C215" s="3"/>
      <c r="D215" s="3"/>
      <c r="E215" s="3"/>
      <c r="F215" s="3"/>
      <c r="G215" s="3"/>
      <c r="H215" s="3"/>
      <c r="I215" s="53"/>
      <c r="J215" s="53"/>
      <c r="K215" s="53"/>
      <c r="L215" s="53"/>
      <c r="M215" s="53"/>
      <c r="N215" s="5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row>
    <row r="216" spans="1:54" ht="16.5" customHeight="1">
      <c r="A216" s="3"/>
      <c r="B216" s="3"/>
      <c r="C216" s="3"/>
      <c r="D216" s="3"/>
      <c r="E216" s="3"/>
      <c r="F216" s="3"/>
      <c r="G216" s="3"/>
      <c r="H216" s="3"/>
      <c r="I216" s="53"/>
      <c r="J216" s="53"/>
      <c r="K216" s="53"/>
      <c r="L216" s="53"/>
      <c r="M216" s="53"/>
      <c r="N216" s="5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row>
    <row r="217" spans="1:54" ht="16.5" customHeight="1">
      <c r="A217" s="3"/>
      <c r="B217" s="3"/>
      <c r="C217" s="3"/>
      <c r="D217" s="3"/>
      <c r="E217" s="3"/>
      <c r="F217" s="3"/>
      <c r="G217" s="3"/>
      <c r="H217" s="3"/>
      <c r="I217" s="53"/>
      <c r="J217" s="53"/>
      <c r="K217" s="53"/>
      <c r="L217" s="53"/>
      <c r="M217" s="53"/>
      <c r="N217" s="5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row>
    <row r="218" spans="1:54" ht="16.5" customHeight="1">
      <c r="A218" s="3"/>
      <c r="B218" s="3"/>
      <c r="C218" s="3"/>
      <c r="D218" s="3"/>
      <c r="E218" s="3"/>
      <c r="F218" s="3"/>
      <c r="G218" s="3"/>
      <c r="H218" s="3"/>
      <c r="I218" s="53"/>
      <c r="J218" s="53"/>
      <c r="K218" s="53"/>
      <c r="L218" s="53"/>
      <c r="M218" s="53"/>
      <c r="N218" s="5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row>
    <row r="219" spans="1:54" ht="16.5" customHeight="1">
      <c r="A219" s="3"/>
      <c r="B219" s="3"/>
      <c r="C219" s="3"/>
      <c r="D219" s="3"/>
      <c r="E219" s="3"/>
      <c r="F219" s="3"/>
      <c r="G219" s="3"/>
      <c r="H219" s="3"/>
      <c r="I219" s="53"/>
      <c r="J219" s="53"/>
      <c r="K219" s="53"/>
      <c r="L219" s="53"/>
      <c r="M219" s="53"/>
      <c r="N219" s="5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row>
    <row r="220" spans="1:54" ht="16.5" customHeight="1">
      <c r="A220" s="3"/>
      <c r="B220" s="3"/>
      <c r="C220" s="3"/>
      <c r="D220" s="3"/>
      <c r="E220" s="3"/>
      <c r="F220" s="3"/>
      <c r="G220" s="3"/>
      <c r="H220" s="3"/>
      <c r="I220" s="53"/>
      <c r="J220" s="53"/>
      <c r="K220" s="53"/>
      <c r="L220" s="53"/>
      <c r="M220" s="53"/>
      <c r="N220" s="5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row>
    <row r="221" spans="1:54" ht="16.5" customHeight="1">
      <c r="A221" s="3"/>
      <c r="B221" s="3"/>
      <c r="C221" s="3"/>
      <c r="D221" s="3"/>
      <c r="E221" s="3"/>
      <c r="F221" s="3"/>
      <c r="G221" s="3"/>
      <c r="H221" s="3"/>
      <c r="I221" s="53"/>
      <c r="J221" s="53"/>
      <c r="K221" s="53"/>
      <c r="L221" s="53"/>
      <c r="M221" s="53"/>
      <c r="N221" s="5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row>
    <row r="222" spans="1:54" ht="16.5" customHeight="1">
      <c r="A222" s="3"/>
      <c r="B222" s="3"/>
      <c r="C222" s="3"/>
      <c r="D222" s="3"/>
      <c r="E222" s="3"/>
      <c r="F222" s="3"/>
      <c r="G222" s="3"/>
      <c r="H222" s="3"/>
      <c r="I222" s="53"/>
      <c r="J222" s="53"/>
      <c r="K222" s="53"/>
      <c r="L222" s="53"/>
      <c r="M222" s="53"/>
      <c r="N222" s="5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row>
    <row r="223" spans="1:54" ht="16.5" customHeight="1">
      <c r="A223" s="3"/>
      <c r="B223" s="3"/>
      <c r="C223" s="3"/>
      <c r="D223" s="3"/>
      <c r="E223" s="3"/>
      <c r="F223" s="3"/>
      <c r="G223" s="3"/>
      <c r="H223" s="3"/>
      <c r="I223" s="53"/>
      <c r="J223" s="53"/>
      <c r="K223" s="53"/>
      <c r="L223" s="53"/>
      <c r="M223" s="53"/>
      <c r="N223" s="5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row>
    <row r="224" spans="1:54" ht="16.5" customHeight="1">
      <c r="A224" s="3"/>
      <c r="B224" s="3"/>
      <c r="C224" s="3"/>
      <c r="D224" s="3"/>
      <c r="E224" s="3"/>
      <c r="F224" s="3"/>
      <c r="G224" s="3"/>
      <c r="H224" s="3"/>
      <c r="I224" s="53"/>
      <c r="J224" s="53"/>
      <c r="K224" s="53"/>
      <c r="L224" s="53"/>
      <c r="M224" s="53"/>
      <c r="N224" s="5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row>
    <row r="225" spans="1:54" ht="16.5" customHeight="1">
      <c r="A225" s="3"/>
      <c r="B225" s="3"/>
      <c r="C225" s="3"/>
      <c r="D225" s="3"/>
      <c r="E225" s="3"/>
      <c r="F225" s="3"/>
      <c r="G225" s="3"/>
      <c r="H225" s="3"/>
      <c r="I225" s="53"/>
      <c r="J225" s="53"/>
      <c r="K225" s="53"/>
      <c r="L225" s="53"/>
      <c r="M225" s="53"/>
      <c r="N225" s="5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row>
    <row r="226" spans="1:54" ht="16.5" customHeight="1">
      <c r="A226" s="3"/>
      <c r="B226" s="3"/>
      <c r="C226" s="3"/>
      <c r="D226" s="3"/>
      <c r="E226" s="3"/>
      <c r="F226" s="3"/>
      <c r="G226" s="3"/>
      <c r="H226" s="3"/>
      <c r="I226" s="53"/>
      <c r="J226" s="53"/>
      <c r="K226" s="53"/>
      <c r="L226" s="53"/>
      <c r="M226" s="53"/>
      <c r="N226" s="5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row>
    <row r="227" spans="1:54" ht="16.5" customHeight="1">
      <c r="A227" s="3"/>
      <c r="B227" s="3"/>
      <c r="C227" s="3"/>
      <c r="D227" s="3"/>
      <c r="E227" s="3"/>
      <c r="F227" s="3"/>
      <c r="G227" s="3"/>
      <c r="H227" s="3"/>
      <c r="I227" s="53"/>
      <c r="J227" s="53"/>
      <c r="K227" s="53"/>
      <c r="L227" s="53"/>
      <c r="M227" s="53"/>
      <c r="N227" s="5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row>
    <row r="228" spans="1:54" ht="16.5" customHeight="1">
      <c r="A228" s="3"/>
      <c r="B228" s="3"/>
      <c r="C228" s="3"/>
      <c r="D228" s="3"/>
      <c r="E228" s="3"/>
      <c r="F228" s="3"/>
      <c r="G228" s="3"/>
      <c r="H228" s="3"/>
      <c r="I228" s="53"/>
      <c r="J228" s="53"/>
      <c r="K228" s="53"/>
      <c r="L228" s="53"/>
      <c r="M228" s="53"/>
      <c r="N228" s="5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row>
    <row r="229" spans="1:54" ht="16.5" customHeight="1">
      <c r="A229" s="3"/>
      <c r="B229" s="3"/>
      <c r="C229" s="3"/>
      <c r="D229" s="3"/>
      <c r="E229" s="3"/>
      <c r="F229" s="3"/>
      <c r="G229" s="3"/>
      <c r="H229" s="3"/>
      <c r="I229" s="53"/>
      <c r="J229" s="53"/>
      <c r="K229" s="53"/>
      <c r="L229" s="53"/>
      <c r="M229" s="53"/>
      <c r="N229" s="5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row>
    <row r="230" spans="1:54" ht="16.5" customHeight="1">
      <c r="A230" s="3"/>
      <c r="B230" s="3"/>
      <c r="C230" s="3"/>
      <c r="D230" s="3"/>
      <c r="E230" s="3"/>
      <c r="F230" s="3"/>
      <c r="G230" s="3"/>
      <c r="H230" s="3"/>
      <c r="I230" s="53"/>
      <c r="J230" s="53"/>
      <c r="K230" s="53"/>
      <c r="L230" s="53"/>
      <c r="M230" s="53"/>
      <c r="N230" s="5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row>
    <row r="231" spans="1:54" ht="16.5" customHeight="1">
      <c r="A231" s="3"/>
      <c r="B231" s="3"/>
      <c r="C231" s="3"/>
      <c r="D231" s="3"/>
      <c r="E231" s="3"/>
      <c r="F231" s="3"/>
      <c r="G231" s="3"/>
      <c r="H231" s="3"/>
      <c r="I231" s="53"/>
      <c r="J231" s="53"/>
      <c r="K231" s="53"/>
      <c r="L231" s="53"/>
      <c r="M231" s="53"/>
      <c r="N231" s="5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row>
    <row r="232" spans="1:54" ht="16.5" customHeight="1">
      <c r="A232" s="3"/>
      <c r="B232" s="3"/>
      <c r="C232" s="3"/>
      <c r="D232" s="3"/>
      <c r="E232" s="3"/>
      <c r="F232" s="3"/>
      <c r="G232" s="3"/>
      <c r="H232" s="3"/>
      <c r="I232" s="53"/>
      <c r="J232" s="53"/>
      <c r="K232" s="53"/>
      <c r="L232" s="53"/>
      <c r="M232" s="53"/>
      <c r="N232" s="5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row>
    <row r="233" spans="1:54" ht="16.5" customHeight="1">
      <c r="A233" s="3"/>
      <c r="B233" s="3"/>
      <c r="C233" s="3"/>
      <c r="D233" s="3"/>
      <c r="E233" s="3"/>
      <c r="F233" s="3"/>
      <c r="G233" s="3"/>
      <c r="H233" s="3"/>
      <c r="I233" s="53"/>
      <c r="J233" s="53"/>
      <c r="K233" s="53"/>
      <c r="L233" s="53"/>
      <c r="M233" s="53"/>
      <c r="N233" s="5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row>
    <row r="234" spans="1:54" ht="16.5" customHeight="1">
      <c r="A234" s="3"/>
      <c r="B234" s="3"/>
      <c r="C234" s="3"/>
      <c r="D234" s="3"/>
      <c r="E234" s="3"/>
      <c r="F234" s="3"/>
      <c r="G234" s="3"/>
      <c r="H234" s="3"/>
      <c r="I234" s="53"/>
      <c r="J234" s="53"/>
      <c r="K234" s="53"/>
      <c r="L234" s="53"/>
      <c r="M234" s="53"/>
      <c r="N234" s="5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row>
    <row r="235" spans="1:54" ht="16.5" customHeight="1">
      <c r="A235" s="3"/>
      <c r="B235" s="3"/>
      <c r="C235" s="3"/>
      <c r="D235" s="3"/>
      <c r="E235" s="3"/>
      <c r="F235" s="3"/>
      <c r="G235" s="3"/>
      <c r="H235" s="3"/>
      <c r="I235" s="53"/>
      <c r="J235" s="53"/>
      <c r="K235" s="53"/>
      <c r="L235" s="53"/>
      <c r="M235" s="53"/>
      <c r="N235" s="5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row>
    <row r="236" spans="1:54" ht="16.5" customHeight="1">
      <c r="A236" s="3"/>
      <c r="B236" s="3"/>
      <c r="C236" s="3"/>
      <c r="D236" s="3"/>
      <c r="E236" s="3"/>
      <c r="F236" s="3"/>
      <c r="G236" s="3"/>
      <c r="H236" s="3"/>
      <c r="I236" s="53"/>
      <c r="J236" s="53"/>
      <c r="K236" s="53"/>
      <c r="L236" s="53"/>
      <c r="M236" s="53"/>
      <c r="N236" s="5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row>
    <row r="237" spans="1:54" ht="16.5" customHeight="1">
      <c r="A237" s="3"/>
      <c r="B237" s="3"/>
      <c r="C237" s="3"/>
      <c r="D237" s="3"/>
      <c r="E237" s="3"/>
      <c r="F237" s="3"/>
      <c r="G237" s="3"/>
      <c r="H237" s="3"/>
      <c r="I237" s="53"/>
      <c r="J237" s="53"/>
      <c r="K237" s="53"/>
      <c r="L237" s="53"/>
      <c r="M237" s="53"/>
      <c r="N237" s="5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row>
    <row r="238" spans="1:54" ht="16.5" customHeight="1">
      <c r="A238" s="3"/>
      <c r="B238" s="3"/>
      <c r="C238" s="3"/>
      <c r="D238" s="3"/>
      <c r="E238" s="3"/>
      <c r="F238" s="3"/>
      <c r="G238" s="3"/>
      <c r="H238" s="3"/>
      <c r="I238" s="53"/>
      <c r="J238" s="53"/>
      <c r="K238" s="53"/>
      <c r="L238" s="53"/>
      <c r="M238" s="53"/>
      <c r="N238" s="5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row>
    <row r="239" spans="1:54" ht="16.5" customHeight="1">
      <c r="A239" s="3"/>
      <c r="B239" s="3"/>
      <c r="C239" s="3"/>
      <c r="D239" s="3"/>
      <c r="E239" s="3"/>
      <c r="F239" s="3"/>
      <c r="G239" s="3"/>
      <c r="H239" s="3"/>
      <c r="I239" s="53"/>
      <c r="J239" s="53"/>
      <c r="K239" s="53"/>
      <c r="L239" s="53"/>
      <c r="M239" s="53"/>
      <c r="N239" s="5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row>
    <row r="240" spans="1:54" ht="16.5" customHeight="1">
      <c r="A240" s="3"/>
      <c r="B240" s="3"/>
      <c r="C240" s="3"/>
      <c r="D240" s="3"/>
      <c r="E240" s="3"/>
      <c r="F240" s="3"/>
      <c r="G240" s="3"/>
      <c r="H240" s="3"/>
      <c r="I240" s="53"/>
      <c r="J240" s="53"/>
      <c r="K240" s="53"/>
      <c r="L240" s="53"/>
      <c r="M240" s="53"/>
      <c r="N240" s="5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row>
    <row r="241" spans="1:54" ht="16.5" customHeight="1">
      <c r="A241" s="3"/>
      <c r="B241" s="3"/>
      <c r="C241" s="3"/>
      <c r="D241" s="3"/>
      <c r="E241" s="3"/>
      <c r="F241" s="3"/>
      <c r="G241" s="3"/>
      <c r="H241" s="3"/>
      <c r="I241" s="53"/>
      <c r="J241" s="53"/>
      <c r="K241" s="53"/>
      <c r="L241" s="53"/>
      <c r="M241" s="53"/>
      <c r="N241" s="5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row>
    <row r="242" spans="1:54" ht="16.5" customHeight="1">
      <c r="A242" s="3"/>
      <c r="B242" s="3"/>
      <c r="C242" s="3"/>
      <c r="D242" s="3"/>
      <c r="E242" s="3"/>
      <c r="F242" s="3"/>
      <c r="G242" s="3"/>
      <c r="H242" s="3"/>
      <c r="I242" s="53"/>
      <c r="J242" s="53"/>
      <c r="K242" s="53"/>
      <c r="L242" s="53"/>
      <c r="M242" s="53"/>
      <c r="N242" s="5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row>
    <row r="243" spans="1:54" ht="16.5" customHeight="1">
      <c r="A243" s="3"/>
      <c r="B243" s="3"/>
      <c r="C243" s="3"/>
      <c r="D243" s="3"/>
      <c r="E243" s="3"/>
      <c r="F243" s="3"/>
      <c r="G243" s="3"/>
      <c r="H243" s="3"/>
      <c r="I243" s="53"/>
      <c r="J243" s="53"/>
      <c r="K243" s="53"/>
      <c r="L243" s="53"/>
      <c r="M243" s="53"/>
      <c r="N243" s="5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row>
    <row r="244" spans="1:54" ht="16.5" customHeight="1">
      <c r="A244" s="3"/>
      <c r="B244" s="3"/>
      <c r="C244" s="3"/>
      <c r="D244" s="3"/>
      <c r="E244" s="3"/>
      <c r="F244" s="3"/>
      <c r="G244" s="3"/>
      <c r="H244" s="3"/>
      <c r="I244" s="53"/>
      <c r="J244" s="53"/>
      <c r="K244" s="53"/>
      <c r="L244" s="53"/>
      <c r="M244" s="53"/>
      <c r="N244" s="5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row>
    <row r="245" spans="1:54" ht="16.5" customHeight="1">
      <c r="A245" s="3"/>
      <c r="B245" s="3"/>
      <c r="C245" s="3"/>
      <c r="D245" s="3"/>
      <c r="E245" s="3"/>
      <c r="F245" s="3"/>
      <c r="G245" s="3"/>
      <c r="H245" s="3"/>
      <c r="I245" s="53"/>
      <c r="J245" s="53"/>
      <c r="K245" s="53"/>
      <c r="L245" s="53"/>
      <c r="M245" s="53"/>
      <c r="N245" s="5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row>
    <row r="246" spans="1:54" ht="16.5" customHeight="1">
      <c r="A246" s="3"/>
      <c r="B246" s="3"/>
      <c r="C246" s="3"/>
      <c r="D246" s="3"/>
      <c r="E246" s="3"/>
      <c r="F246" s="3"/>
      <c r="G246" s="3"/>
      <c r="H246" s="3"/>
      <c r="I246" s="53"/>
      <c r="J246" s="53"/>
      <c r="K246" s="53"/>
      <c r="L246" s="53"/>
      <c r="M246" s="53"/>
      <c r="N246" s="5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row>
    <row r="247" spans="1:54" ht="16.5" customHeight="1">
      <c r="A247" s="3"/>
      <c r="B247" s="3"/>
      <c r="C247" s="3"/>
      <c r="D247" s="3"/>
      <c r="E247" s="3"/>
      <c r="F247" s="3"/>
      <c r="G247" s="3"/>
      <c r="H247" s="3"/>
      <c r="I247" s="53"/>
      <c r="J247" s="53"/>
      <c r="K247" s="53"/>
      <c r="L247" s="53"/>
      <c r="M247" s="53"/>
      <c r="N247" s="5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row>
    <row r="248" spans="1:54" ht="16.5" customHeight="1">
      <c r="A248" s="3"/>
      <c r="B248" s="3"/>
      <c r="C248" s="3"/>
      <c r="D248" s="3"/>
      <c r="E248" s="3"/>
      <c r="F248" s="3"/>
      <c r="G248" s="3"/>
      <c r="H248" s="3"/>
      <c r="I248" s="53"/>
      <c r="J248" s="53"/>
      <c r="K248" s="53"/>
      <c r="L248" s="53"/>
      <c r="M248" s="53"/>
      <c r="N248" s="5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row>
    <row r="249" spans="1:54" ht="16.5" customHeight="1">
      <c r="A249" s="3"/>
      <c r="B249" s="3"/>
      <c r="C249" s="3"/>
      <c r="D249" s="3"/>
      <c r="E249" s="3"/>
      <c r="F249" s="3"/>
      <c r="G249" s="3"/>
      <c r="H249" s="3"/>
      <c r="I249" s="53"/>
      <c r="J249" s="53"/>
      <c r="K249" s="53"/>
      <c r="L249" s="53"/>
      <c r="M249" s="53"/>
      <c r="N249" s="5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row>
    <row r="250" spans="1:54" ht="16.5" customHeight="1">
      <c r="A250" s="3"/>
      <c r="B250" s="3"/>
      <c r="C250" s="3"/>
      <c r="D250" s="3"/>
      <c r="E250" s="3"/>
      <c r="F250" s="3"/>
      <c r="G250" s="3"/>
      <c r="H250" s="3"/>
      <c r="I250" s="53"/>
      <c r="J250" s="53"/>
      <c r="K250" s="53"/>
      <c r="L250" s="53"/>
      <c r="M250" s="53"/>
      <c r="N250" s="5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row>
    <row r="251" spans="1:54" ht="16.5" customHeight="1">
      <c r="A251" s="3"/>
      <c r="B251" s="3"/>
      <c r="C251" s="3"/>
      <c r="D251" s="3"/>
      <c r="E251" s="3"/>
      <c r="F251" s="3"/>
      <c r="G251" s="3"/>
      <c r="H251" s="3"/>
      <c r="I251" s="53"/>
      <c r="J251" s="53"/>
      <c r="K251" s="53"/>
      <c r="L251" s="53"/>
      <c r="M251" s="53"/>
      <c r="N251" s="5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row>
    <row r="252" spans="1:54" ht="16.5" customHeight="1">
      <c r="A252" s="3"/>
      <c r="B252" s="3"/>
      <c r="C252" s="3"/>
      <c r="D252" s="3"/>
      <c r="E252" s="3"/>
      <c r="F252" s="3"/>
      <c r="G252" s="3"/>
      <c r="H252" s="3"/>
      <c r="I252" s="53"/>
      <c r="J252" s="53"/>
      <c r="K252" s="53"/>
      <c r="L252" s="53"/>
      <c r="M252" s="53"/>
      <c r="N252" s="5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row>
    <row r="253" spans="1:54" ht="16.5" customHeight="1">
      <c r="A253" s="3"/>
      <c r="B253" s="3"/>
      <c r="C253" s="3"/>
      <c r="D253" s="3"/>
      <c r="E253" s="3"/>
      <c r="F253" s="3"/>
      <c r="G253" s="3"/>
      <c r="H253" s="3"/>
      <c r="I253" s="53"/>
      <c r="J253" s="53"/>
      <c r="K253" s="53"/>
      <c r="L253" s="53"/>
      <c r="M253" s="53"/>
      <c r="N253" s="5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row>
    <row r="254" spans="1:54" ht="16.5" customHeight="1">
      <c r="A254" s="3"/>
      <c r="B254" s="3"/>
      <c r="C254" s="3"/>
      <c r="D254" s="3"/>
      <c r="E254" s="3"/>
      <c r="F254" s="3"/>
      <c r="G254" s="3"/>
      <c r="H254" s="3"/>
      <c r="I254" s="53"/>
      <c r="J254" s="53"/>
      <c r="K254" s="53"/>
      <c r="L254" s="53"/>
      <c r="M254" s="53"/>
      <c r="N254" s="5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row>
    <row r="255" spans="1:54" ht="16.5" customHeight="1">
      <c r="A255" s="3"/>
      <c r="B255" s="3"/>
      <c r="C255" s="3"/>
      <c r="D255" s="3"/>
      <c r="E255" s="3"/>
      <c r="F255" s="3"/>
      <c r="G255" s="3"/>
      <c r="H255" s="3"/>
      <c r="I255" s="53"/>
      <c r="J255" s="53"/>
      <c r="K255" s="53"/>
      <c r="L255" s="53"/>
      <c r="M255" s="53"/>
      <c r="N255" s="5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row>
    <row r="256" spans="1:54" ht="16.5" customHeight="1">
      <c r="A256" s="3"/>
      <c r="B256" s="3"/>
      <c r="C256" s="3"/>
      <c r="D256" s="3"/>
      <c r="E256" s="3"/>
      <c r="F256" s="3"/>
      <c r="G256" s="3"/>
      <c r="H256" s="3"/>
      <c r="I256" s="53"/>
      <c r="J256" s="53"/>
      <c r="K256" s="53"/>
      <c r="L256" s="53"/>
      <c r="M256" s="53"/>
      <c r="N256" s="5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row>
    <row r="257" spans="1:54" ht="16.5" customHeight="1">
      <c r="A257" s="3"/>
      <c r="B257" s="3"/>
      <c r="C257" s="3"/>
      <c r="D257" s="3"/>
      <c r="E257" s="3"/>
      <c r="F257" s="3"/>
      <c r="G257" s="3"/>
      <c r="H257" s="3"/>
      <c r="I257" s="53"/>
      <c r="J257" s="53"/>
      <c r="K257" s="53"/>
      <c r="L257" s="53"/>
      <c r="M257" s="53"/>
      <c r="N257" s="5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row>
    <row r="258" spans="1:54" ht="16.5" customHeight="1">
      <c r="A258" s="3"/>
      <c r="B258" s="3"/>
      <c r="C258" s="3"/>
      <c r="D258" s="3"/>
      <c r="E258" s="3"/>
      <c r="F258" s="3"/>
      <c r="G258" s="3"/>
      <c r="H258" s="3"/>
      <c r="I258" s="53"/>
      <c r="J258" s="53"/>
      <c r="K258" s="53"/>
      <c r="L258" s="53"/>
      <c r="M258" s="53"/>
      <c r="N258" s="5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row>
    <row r="259" spans="1:54" ht="16.5" customHeight="1">
      <c r="A259" s="3"/>
      <c r="B259" s="3"/>
      <c r="C259" s="3"/>
      <c r="D259" s="3"/>
      <c r="E259" s="3"/>
      <c r="F259" s="3"/>
      <c r="G259" s="3"/>
      <c r="H259" s="3"/>
      <c r="I259" s="53"/>
      <c r="J259" s="53"/>
      <c r="K259" s="53"/>
      <c r="L259" s="53"/>
      <c r="M259" s="53"/>
      <c r="N259" s="5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row>
    <row r="260" spans="1:54" ht="16.5" customHeight="1">
      <c r="A260" s="3"/>
      <c r="B260" s="3"/>
      <c r="C260" s="3"/>
      <c r="D260" s="3"/>
      <c r="E260" s="3"/>
      <c r="F260" s="3"/>
      <c r="G260" s="3"/>
      <c r="H260" s="3"/>
      <c r="I260" s="53"/>
      <c r="J260" s="53"/>
      <c r="K260" s="53"/>
      <c r="L260" s="53"/>
      <c r="M260" s="53"/>
      <c r="N260" s="5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row>
    <row r="261" spans="1:54" ht="16.5" customHeight="1">
      <c r="A261" s="3"/>
      <c r="B261" s="3"/>
      <c r="C261" s="3"/>
      <c r="D261" s="3"/>
      <c r="E261" s="3"/>
      <c r="F261" s="3"/>
      <c r="G261" s="3"/>
      <c r="H261" s="3"/>
      <c r="I261" s="53"/>
      <c r="J261" s="53"/>
      <c r="K261" s="53"/>
      <c r="L261" s="53"/>
      <c r="M261" s="53"/>
      <c r="N261" s="5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row>
    <row r="262" spans="1:54" ht="16.5" customHeight="1">
      <c r="A262" s="3"/>
      <c r="B262" s="3"/>
      <c r="C262" s="3"/>
      <c r="D262" s="3"/>
      <c r="E262" s="3"/>
      <c r="F262" s="3"/>
      <c r="G262" s="3"/>
      <c r="H262" s="3"/>
      <c r="I262" s="53"/>
      <c r="J262" s="53"/>
      <c r="K262" s="53"/>
      <c r="L262" s="53"/>
      <c r="M262" s="53"/>
      <c r="N262" s="5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row>
    <row r="263" spans="1:54" ht="16.5" customHeight="1">
      <c r="A263" s="3"/>
      <c r="B263" s="3"/>
      <c r="C263" s="3"/>
      <c r="D263" s="3"/>
      <c r="E263" s="3"/>
      <c r="F263" s="3"/>
      <c r="G263" s="3"/>
      <c r="H263" s="3"/>
      <c r="I263" s="53"/>
      <c r="J263" s="53"/>
      <c r="K263" s="53"/>
      <c r="L263" s="53"/>
      <c r="M263" s="53"/>
      <c r="N263" s="5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row>
    <row r="264" spans="1:54" ht="16.5" customHeight="1">
      <c r="A264" s="3"/>
      <c r="B264" s="3"/>
      <c r="C264" s="3"/>
      <c r="D264" s="3"/>
      <c r="E264" s="3"/>
      <c r="F264" s="3"/>
      <c r="G264" s="3"/>
      <c r="H264" s="3"/>
      <c r="I264" s="53"/>
      <c r="J264" s="53"/>
      <c r="K264" s="53"/>
      <c r="L264" s="53"/>
      <c r="M264" s="53"/>
      <c r="N264" s="5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row>
    <row r="265" spans="1:54" ht="16.5" customHeight="1">
      <c r="A265" s="3"/>
      <c r="B265" s="3"/>
      <c r="C265" s="3"/>
      <c r="D265" s="3"/>
      <c r="E265" s="3"/>
      <c r="F265" s="3"/>
      <c r="G265" s="3"/>
      <c r="H265" s="3"/>
      <c r="I265" s="53"/>
      <c r="J265" s="53"/>
      <c r="K265" s="53"/>
      <c r="L265" s="53"/>
      <c r="M265" s="53"/>
      <c r="N265" s="5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row>
    <row r="266" spans="1:54" ht="16.5" customHeight="1">
      <c r="A266" s="3"/>
      <c r="B266" s="3"/>
      <c r="C266" s="3"/>
      <c r="D266" s="3"/>
      <c r="E266" s="3"/>
      <c r="F266" s="3"/>
      <c r="G266" s="3"/>
      <c r="H266" s="3"/>
      <c r="I266" s="53"/>
      <c r="J266" s="53"/>
      <c r="K266" s="53"/>
      <c r="L266" s="53"/>
      <c r="M266" s="53"/>
      <c r="N266" s="5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row>
    <row r="267" spans="1:54" ht="16.5" customHeight="1">
      <c r="A267" s="3"/>
      <c r="B267" s="3"/>
      <c r="C267" s="3"/>
      <c r="D267" s="3"/>
      <c r="E267" s="3"/>
      <c r="F267" s="3"/>
      <c r="G267" s="3"/>
      <c r="H267" s="3"/>
      <c r="I267" s="53"/>
      <c r="J267" s="53"/>
      <c r="K267" s="53"/>
      <c r="L267" s="53"/>
      <c r="M267" s="53"/>
      <c r="N267" s="5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row>
    <row r="268" spans="1:54" ht="16.5" customHeight="1">
      <c r="A268" s="3"/>
      <c r="B268" s="3"/>
      <c r="C268" s="3"/>
      <c r="D268" s="3"/>
      <c r="E268" s="3"/>
      <c r="F268" s="3"/>
      <c r="G268" s="3"/>
      <c r="H268" s="3"/>
      <c r="I268" s="53"/>
      <c r="J268" s="53"/>
      <c r="K268" s="53"/>
      <c r="L268" s="53"/>
      <c r="M268" s="53"/>
      <c r="N268" s="5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row>
    <row r="269" spans="1:54" ht="16.5" customHeight="1">
      <c r="A269" s="3"/>
      <c r="B269" s="3"/>
      <c r="C269" s="3"/>
      <c r="D269" s="3"/>
      <c r="E269" s="3"/>
      <c r="F269" s="3"/>
      <c r="G269" s="3"/>
      <c r="H269" s="3"/>
      <c r="I269" s="53"/>
      <c r="J269" s="53"/>
      <c r="K269" s="53"/>
      <c r="L269" s="53"/>
      <c r="M269" s="53"/>
      <c r="N269" s="5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row>
    <row r="270" spans="1:54" ht="16.5" customHeight="1">
      <c r="A270" s="3"/>
      <c r="B270" s="3"/>
      <c r="C270" s="3"/>
      <c r="D270" s="3"/>
      <c r="E270" s="3"/>
      <c r="F270" s="3"/>
      <c r="G270" s="3"/>
      <c r="H270" s="3"/>
      <c r="I270" s="53"/>
      <c r="J270" s="53"/>
      <c r="K270" s="53"/>
      <c r="L270" s="53"/>
      <c r="M270" s="53"/>
      <c r="N270" s="5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row>
    <row r="271" spans="1:54" ht="16.5" customHeight="1">
      <c r="A271" s="3"/>
      <c r="B271" s="3"/>
      <c r="C271" s="3"/>
      <c r="D271" s="3"/>
      <c r="E271" s="3"/>
      <c r="F271" s="3"/>
      <c r="G271" s="3"/>
      <c r="H271" s="3"/>
      <c r="I271" s="53"/>
      <c r="J271" s="53"/>
      <c r="K271" s="53"/>
      <c r="L271" s="53"/>
      <c r="M271" s="53"/>
      <c r="N271" s="5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row>
    <row r="272" spans="1:54" ht="16.5" customHeight="1">
      <c r="A272" s="3"/>
      <c r="B272" s="3"/>
      <c r="C272" s="3"/>
      <c r="D272" s="3"/>
      <c r="E272" s="3"/>
      <c r="F272" s="3"/>
      <c r="G272" s="3"/>
      <c r="H272" s="3"/>
      <c r="I272" s="53"/>
      <c r="J272" s="53"/>
      <c r="K272" s="53"/>
      <c r="L272" s="53"/>
      <c r="M272" s="53"/>
      <c r="N272" s="5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row>
    <row r="273" spans="1:54" ht="16.5" customHeight="1">
      <c r="A273" s="3"/>
      <c r="B273" s="3"/>
      <c r="C273" s="3"/>
      <c r="D273" s="3"/>
      <c r="E273" s="3"/>
      <c r="F273" s="3"/>
      <c r="G273" s="3"/>
      <c r="H273" s="3"/>
      <c r="I273" s="53"/>
      <c r="J273" s="53"/>
      <c r="K273" s="53"/>
      <c r="L273" s="53"/>
      <c r="M273" s="53"/>
      <c r="N273" s="5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row>
    <row r="274" spans="1:54" ht="16.5" customHeight="1">
      <c r="A274" s="3"/>
      <c r="B274" s="3"/>
      <c r="C274" s="3"/>
      <c r="D274" s="3"/>
      <c r="E274" s="3"/>
      <c r="F274" s="3"/>
      <c r="G274" s="3"/>
      <c r="H274" s="3"/>
      <c r="I274" s="53"/>
      <c r="J274" s="53"/>
      <c r="K274" s="53"/>
      <c r="L274" s="53"/>
      <c r="M274" s="53"/>
      <c r="N274" s="5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row>
    <row r="275" spans="1:54" ht="16.5" customHeight="1">
      <c r="A275" s="3"/>
      <c r="B275" s="3"/>
      <c r="C275" s="3"/>
      <c r="D275" s="3"/>
      <c r="E275" s="3"/>
      <c r="F275" s="3"/>
      <c r="G275" s="3"/>
      <c r="H275" s="3"/>
      <c r="I275" s="53"/>
      <c r="J275" s="53"/>
      <c r="K275" s="53"/>
      <c r="L275" s="53"/>
      <c r="M275" s="53"/>
      <c r="N275" s="5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row>
    <row r="276" spans="1:54" ht="16.5" customHeight="1">
      <c r="A276" s="3"/>
      <c r="B276" s="3"/>
      <c r="C276" s="3"/>
      <c r="D276" s="3"/>
      <c r="E276" s="3"/>
      <c r="F276" s="3"/>
      <c r="G276" s="3"/>
      <c r="H276" s="3"/>
      <c r="I276" s="53"/>
      <c r="J276" s="53"/>
      <c r="K276" s="53"/>
      <c r="L276" s="53"/>
      <c r="M276" s="53"/>
      <c r="N276" s="5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row>
    <row r="277" spans="1:54" ht="16.5" customHeight="1">
      <c r="A277" s="3"/>
      <c r="B277" s="3"/>
      <c r="C277" s="3"/>
      <c r="D277" s="3"/>
      <c r="E277" s="3"/>
      <c r="F277" s="3"/>
      <c r="G277" s="3"/>
      <c r="H277" s="3"/>
      <c r="I277" s="53"/>
      <c r="J277" s="53"/>
      <c r="K277" s="53"/>
      <c r="L277" s="53"/>
      <c r="M277" s="53"/>
      <c r="N277" s="5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row>
    <row r="278" spans="1:54" ht="16.5" customHeight="1">
      <c r="A278" s="3"/>
      <c r="B278" s="3"/>
      <c r="C278" s="3"/>
      <c r="D278" s="3"/>
      <c r="E278" s="3"/>
      <c r="F278" s="3"/>
      <c r="G278" s="3"/>
      <c r="H278" s="3"/>
      <c r="I278" s="53"/>
      <c r="J278" s="53"/>
      <c r="K278" s="53"/>
      <c r="L278" s="53"/>
      <c r="M278" s="53"/>
      <c r="N278" s="5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row>
    <row r="279" spans="1:54" ht="16.5" customHeight="1">
      <c r="A279" s="3"/>
      <c r="B279" s="3"/>
      <c r="C279" s="3"/>
      <c r="D279" s="3"/>
      <c r="E279" s="3"/>
      <c r="F279" s="3"/>
      <c r="G279" s="3"/>
      <c r="H279" s="3"/>
      <c r="I279" s="53"/>
      <c r="J279" s="53"/>
      <c r="K279" s="53"/>
      <c r="L279" s="53"/>
      <c r="M279" s="53"/>
      <c r="N279" s="5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row>
    <row r="280" spans="1:54" ht="16.5" customHeight="1">
      <c r="A280" s="3"/>
      <c r="B280" s="3"/>
      <c r="C280" s="3"/>
      <c r="D280" s="3"/>
      <c r="E280" s="3"/>
      <c r="F280" s="3"/>
      <c r="G280" s="3"/>
      <c r="H280" s="3"/>
      <c r="I280" s="53"/>
      <c r="J280" s="53"/>
      <c r="K280" s="53"/>
      <c r="L280" s="53"/>
      <c r="M280" s="53"/>
      <c r="N280" s="5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row>
    <row r="281" spans="1:54" ht="16.5" customHeight="1">
      <c r="A281" s="3"/>
      <c r="B281" s="3"/>
      <c r="C281" s="3"/>
      <c r="D281" s="3"/>
      <c r="E281" s="3"/>
      <c r="F281" s="3"/>
      <c r="G281" s="3"/>
      <c r="H281" s="3"/>
      <c r="I281" s="53"/>
      <c r="J281" s="53"/>
      <c r="K281" s="53"/>
      <c r="L281" s="53"/>
      <c r="M281" s="53"/>
      <c r="N281" s="5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row>
    <row r="282" spans="1:54" ht="16.5" customHeight="1">
      <c r="A282" s="3"/>
      <c r="B282" s="3"/>
      <c r="C282" s="3"/>
      <c r="D282" s="3"/>
      <c r="E282" s="3"/>
      <c r="F282" s="3"/>
      <c r="G282" s="3"/>
      <c r="H282" s="3"/>
      <c r="I282" s="53"/>
      <c r="J282" s="53"/>
      <c r="K282" s="53"/>
      <c r="L282" s="53"/>
      <c r="M282" s="53"/>
      <c r="N282" s="5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row>
    <row r="283" spans="1:54" ht="16.5" customHeight="1">
      <c r="A283" s="3"/>
      <c r="B283" s="3"/>
      <c r="C283" s="3"/>
      <c r="D283" s="3"/>
      <c r="E283" s="3"/>
      <c r="F283" s="3"/>
      <c r="G283" s="3"/>
      <c r="H283" s="3"/>
      <c r="I283" s="53"/>
      <c r="J283" s="53"/>
      <c r="K283" s="53"/>
      <c r="L283" s="53"/>
      <c r="M283" s="53"/>
      <c r="N283" s="5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row>
    <row r="284" spans="1:54" ht="16.5" customHeight="1">
      <c r="A284" s="3"/>
      <c r="B284" s="3"/>
      <c r="C284" s="3"/>
      <c r="D284" s="3"/>
      <c r="E284" s="3"/>
      <c r="F284" s="3"/>
      <c r="G284" s="3"/>
      <c r="H284" s="3"/>
      <c r="I284" s="53"/>
      <c r="J284" s="53"/>
      <c r="K284" s="53"/>
      <c r="L284" s="53"/>
      <c r="M284" s="53"/>
      <c r="N284" s="5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row>
    <row r="285" spans="1:54" ht="16.5" customHeight="1">
      <c r="A285" s="3"/>
      <c r="B285" s="3"/>
      <c r="C285" s="3"/>
      <c r="D285" s="3"/>
      <c r="E285" s="3"/>
      <c r="F285" s="3"/>
      <c r="G285" s="3"/>
      <c r="H285" s="3"/>
      <c r="I285" s="53"/>
      <c r="J285" s="53"/>
      <c r="K285" s="53"/>
      <c r="L285" s="53"/>
      <c r="M285" s="53"/>
      <c r="N285" s="5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row>
    <row r="286" spans="1:54" ht="16.5" customHeight="1">
      <c r="A286" s="3"/>
      <c r="B286" s="3"/>
      <c r="C286" s="3"/>
      <c r="D286" s="3"/>
      <c r="E286" s="3"/>
      <c r="F286" s="3"/>
      <c r="G286" s="3"/>
      <c r="H286" s="3"/>
      <c r="I286" s="53"/>
      <c r="J286" s="53"/>
      <c r="K286" s="53"/>
      <c r="L286" s="53"/>
      <c r="M286" s="53"/>
      <c r="N286" s="5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row>
    <row r="287" spans="1:54" ht="16.5" customHeight="1">
      <c r="A287" s="3"/>
      <c r="B287" s="3"/>
      <c r="C287" s="3"/>
      <c r="D287" s="3"/>
      <c r="E287" s="3"/>
      <c r="F287" s="3"/>
      <c r="G287" s="3"/>
      <c r="H287" s="3"/>
      <c r="I287" s="53"/>
      <c r="J287" s="53"/>
      <c r="K287" s="53"/>
      <c r="L287" s="53"/>
      <c r="M287" s="53"/>
      <c r="N287" s="5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row>
    <row r="288" spans="1:54" ht="16.5" customHeight="1">
      <c r="A288" s="3"/>
      <c r="B288" s="3"/>
      <c r="C288" s="3"/>
      <c r="D288" s="3"/>
      <c r="E288" s="3"/>
      <c r="F288" s="3"/>
      <c r="G288" s="3"/>
      <c r="H288" s="3"/>
      <c r="I288" s="53"/>
      <c r="J288" s="53"/>
      <c r="K288" s="53"/>
      <c r="L288" s="53"/>
      <c r="M288" s="53"/>
      <c r="N288" s="5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row>
    <row r="289" spans="1:54" ht="16.5" customHeight="1">
      <c r="A289" s="3"/>
      <c r="B289" s="3"/>
      <c r="C289" s="3"/>
      <c r="D289" s="3"/>
      <c r="E289" s="3"/>
      <c r="F289" s="3"/>
      <c r="G289" s="3"/>
      <c r="H289" s="3"/>
      <c r="I289" s="53"/>
      <c r="J289" s="53"/>
      <c r="K289" s="53"/>
      <c r="L289" s="53"/>
      <c r="M289" s="53"/>
      <c r="N289" s="5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row>
    <row r="290" spans="1:54" ht="16.5" customHeight="1">
      <c r="A290" s="3"/>
      <c r="B290" s="3"/>
      <c r="C290" s="3"/>
      <c r="D290" s="3"/>
      <c r="E290" s="3"/>
      <c r="F290" s="3"/>
      <c r="G290" s="3"/>
      <c r="H290" s="3"/>
      <c r="I290" s="53"/>
      <c r="J290" s="53"/>
      <c r="K290" s="53"/>
      <c r="L290" s="53"/>
      <c r="M290" s="53"/>
      <c r="N290" s="5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row>
    <row r="291" spans="1:54" ht="16.5" customHeight="1">
      <c r="A291" s="3"/>
      <c r="B291" s="3"/>
      <c r="C291" s="3"/>
      <c r="D291" s="3"/>
      <c r="E291" s="3"/>
      <c r="F291" s="3"/>
      <c r="G291" s="3"/>
      <c r="H291" s="3"/>
      <c r="I291" s="53"/>
      <c r="J291" s="53"/>
      <c r="K291" s="53"/>
      <c r="L291" s="53"/>
      <c r="M291" s="53"/>
      <c r="N291" s="5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row>
    <row r="292" spans="1:54" ht="16.5" customHeight="1">
      <c r="A292" s="3"/>
      <c r="B292" s="3"/>
      <c r="C292" s="3"/>
      <c r="D292" s="3"/>
      <c r="E292" s="3"/>
      <c r="F292" s="3"/>
      <c r="G292" s="3"/>
      <c r="H292" s="3"/>
      <c r="I292" s="53"/>
      <c r="J292" s="53"/>
      <c r="K292" s="53"/>
      <c r="L292" s="53"/>
      <c r="M292" s="53"/>
      <c r="N292" s="5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row>
    <row r="293" spans="1:54" ht="16.5" customHeight="1">
      <c r="A293" s="3"/>
      <c r="B293" s="3"/>
      <c r="C293" s="3"/>
      <c r="D293" s="3"/>
      <c r="E293" s="3"/>
      <c r="F293" s="3"/>
      <c r="G293" s="3"/>
      <c r="H293" s="3"/>
      <c r="I293" s="53"/>
      <c r="J293" s="53"/>
      <c r="K293" s="53"/>
      <c r="L293" s="53"/>
      <c r="M293" s="53"/>
      <c r="N293" s="5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row>
    <row r="294" spans="1:54" ht="16.5" customHeight="1">
      <c r="A294" s="3"/>
      <c r="B294" s="3"/>
      <c r="C294" s="3"/>
      <c r="D294" s="3"/>
      <c r="E294" s="3"/>
      <c r="F294" s="3"/>
      <c r="G294" s="3"/>
      <c r="H294" s="3"/>
      <c r="I294" s="53"/>
      <c r="J294" s="53"/>
      <c r="K294" s="53"/>
      <c r="L294" s="53"/>
      <c r="M294" s="53"/>
      <c r="N294" s="5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row>
    <row r="295" spans="1:54" ht="16.5" customHeight="1">
      <c r="A295" s="3"/>
      <c r="B295" s="3"/>
      <c r="C295" s="3"/>
      <c r="D295" s="3"/>
      <c r="E295" s="3"/>
      <c r="F295" s="3"/>
      <c r="G295" s="3"/>
      <c r="H295" s="3"/>
      <c r="I295" s="53"/>
      <c r="J295" s="53"/>
      <c r="K295" s="53"/>
      <c r="L295" s="53"/>
      <c r="M295" s="53"/>
      <c r="N295" s="5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row>
    <row r="296" spans="1:54" ht="16.5" customHeight="1">
      <c r="A296" s="3"/>
      <c r="B296" s="3"/>
      <c r="C296" s="3"/>
      <c r="D296" s="3"/>
      <c r="E296" s="3"/>
      <c r="F296" s="3"/>
      <c r="G296" s="3"/>
      <c r="H296" s="3"/>
      <c r="I296" s="53"/>
      <c r="J296" s="53"/>
      <c r="K296" s="53"/>
      <c r="L296" s="53"/>
      <c r="M296" s="53"/>
      <c r="N296" s="5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row>
    <row r="297" spans="1:54" ht="16.5" customHeight="1">
      <c r="A297" s="3"/>
      <c r="B297" s="3"/>
      <c r="C297" s="3"/>
      <c r="D297" s="3"/>
      <c r="E297" s="3"/>
      <c r="F297" s="3"/>
      <c r="G297" s="3"/>
      <c r="H297" s="3"/>
      <c r="I297" s="53"/>
      <c r="J297" s="53"/>
      <c r="K297" s="53"/>
      <c r="L297" s="53"/>
      <c r="M297" s="53"/>
      <c r="N297" s="5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row>
    <row r="298" spans="1:54" ht="16.5" customHeight="1">
      <c r="A298" s="3"/>
      <c r="B298" s="3"/>
      <c r="C298" s="3"/>
      <c r="D298" s="3"/>
      <c r="E298" s="3"/>
      <c r="F298" s="3"/>
      <c r="G298" s="3"/>
      <c r="H298" s="3"/>
      <c r="I298" s="53"/>
      <c r="J298" s="53"/>
      <c r="K298" s="53"/>
      <c r="L298" s="53"/>
      <c r="M298" s="53"/>
      <c r="N298" s="5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row>
    <row r="299" spans="1:54" ht="16.5" customHeight="1">
      <c r="A299" s="3"/>
      <c r="B299" s="3"/>
      <c r="C299" s="3"/>
      <c r="D299" s="3"/>
      <c r="E299" s="3"/>
      <c r="F299" s="3"/>
      <c r="G299" s="3"/>
      <c r="H299" s="3"/>
      <c r="I299" s="53"/>
      <c r="J299" s="53"/>
      <c r="K299" s="53"/>
      <c r="L299" s="53"/>
      <c r="M299" s="53"/>
      <c r="N299" s="5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row>
    <row r="300" spans="1:54" ht="16.5" customHeight="1">
      <c r="A300" s="3"/>
      <c r="B300" s="3"/>
      <c r="C300" s="3"/>
      <c r="D300" s="3"/>
      <c r="E300" s="3"/>
      <c r="F300" s="3"/>
      <c r="G300" s="3"/>
      <c r="H300" s="3"/>
      <c r="I300" s="53"/>
      <c r="J300" s="53"/>
      <c r="K300" s="53"/>
      <c r="L300" s="53"/>
      <c r="M300" s="53"/>
      <c r="N300" s="5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row>
    <row r="301" spans="1:54" ht="16.5" customHeight="1">
      <c r="A301" s="3"/>
      <c r="B301" s="3"/>
      <c r="C301" s="3"/>
      <c r="D301" s="3"/>
      <c r="E301" s="3"/>
      <c r="F301" s="3"/>
      <c r="G301" s="3"/>
      <c r="H301" s="3"/>
      <c r="I301" s="53"/>
      <c r="J301" s="53"/>
      <c r="K301" s="53"/>
      <c r="L301" s="53"/>
      <c r="M301" s="53"/>
      <c r="N301" s="5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row>
    <row r="302" spans="1:54" ht="16.5" customHeight="1">
      <c r="A302" s="3"/>
      <c r="B302" s="3"/>
      <c r="C302" s="3"/>
      <c r="D302" s="3"/>
      <c r="E302" s="3"/>
      <c r="F302" s="3"/>
      <c r="G302" s="3"/>
      <c r="H302" s="3"/>
      <c r="I302" s="53"/>
      <c r="J302" s="53"/>
      <c r="K302" s="53"/>
      <c r="L302" s="53"/>
      <c r="M302" s="53"/>
      <c r="N302" s="5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row>
    <row r="303" spans="1:54" ht="16.5" customHeight="1">
      <c r="A303" s="3"/>
      <c r="B303" s="3"/>
      <c r="C303" s="3"/>
      <c r="D303" s="3"/>
      <c r="E303" s="3"/>
      <c r="F303" s="3"/>
      <c r="G303" s="3"/>
      <c r="H303" s="3"/>
      <c r="I303" s="53"/>
      <c r="J303" s="53"/>
      <c r="K303" s="53"/>
      <c r="L303" s="53"/>
      <c r="M303" s="53"/>
      <c r="N303" s="5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row>
    <row r="304" spans="1:54" ht="16.5" customHeight="1">
      <c r="A304" s="3"/>
      <c r="B304" s="3"/>
      <c r="C304" s="3"/>
      <c r="D304" s="3"/>
      <c r="E304" s="3"/>
      <c r="F304" s="3"/>
      <c r="G304" s="3"/>
      <c r="H304" s="3"/>
      <c r="I304" s="53"/>
      <c r="J304" s="53"/>
      <c r="K304" s="53"/>
      <c r="L304" s="53"/>
      <c r="M304" s="53"/>
      <c r="N304" s="5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row>
    <row r="305" spans="1:54" ht="16.5" customHeight="1">
      <c r="A305" s="3"/>
      <c r="B305" s="3"/>
      <c r="C305" s="3"/>
      <c r="D305" s="3"/>
      <c r="E305" s="3"/>
      <c r="F305" s="3"/>
      <c r="G305" s="3"/>
      <c r="H305" s="3"/>
      <c r="I305" s="53"/>
      <c r="J305" s="53"/>
      <c r="K305" s="53"/>
      <c r="L305" s="53"/>
      <c r="M305" s="53"/>
      <c r="N305" s="5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row>
    <row r="306" spans="1:54" ht="16.5" customHeight="1">
      <c r="A306" s="3"/>
      <c r="B306" s="3"/>
      <c r="C306" s="3"/>
      <c r="D306" s="3"/>
      <c r="E306" s="3"/>
      <c r="F306" s="3"/>
      <c r="G306" s="3"/>
      <c r="H306" s="3"/>
      <c r="I306" s="53"/>
      <c r="J306" s="53"/>
      <c r="K306" s="53"/>
      <c r="L306" s="53"/>
      <c r="M306" s="53"/>
      <c r="N306" s="5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row>
    <row r="307" spans="1:54" ht="16.5" customHeight="1">
      <c r="A307" s="3"/>
      <c r="B307" s="3"/>
      <c r="C307" s="3"/>
      <c r="D307" s="3"/>
      <c r="E307" s="3"/>
      <c r="F307" s="3"/>
      <c r="G307" s="3"/>
      <c r="H307" s="3"/>
      <c r="I307" s="53"/>
      <c r="J307" s="53"/>
      <c r="K307" s="53"/>
      <c r="L307" s="53"/>
      <c r="M307" s="53"/>
      <c r="N307" s="5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row>
    <row r="308" spans="1:54" ht="16.5" customHeight="1">
      <c r="A308" s="3"/>
      <c r="B308" s="3"/>
      <c r="C308" s="3"/>
      <c r="D308" s="3"/>
      <c r="E308" s="3"/>
      <c r="F308" s="3"/>
      <c r="G308" s="3"/>
      <c r="H308" s="3"/>
      <c r="I308" s="53"/>
      <c r="J308" s="53"/>
      <c r="K308" s="53"/>
      <c r="L308" s="53"/>
      <c r="M308" s="53"/>
      <c r="N308" s="5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row>
    <row r="309" spans="1:54" ht="16.5" customHeight="1">
      <c r="A309" s="3"/>
      <c r="B309" s="3"/>
      <c r="C309" s="3"/>
      <c r="D309" s="3"/>
      <c r="E309" s="3"/>
      <c r="F309" s="3"/>
      <c r="G309" s="3"/>
      <c r="H309" s="3"/>
      <c r="I309" s="53"/>
      <c r="J309" s="53"/>
      <c r="K309" s="53"/>
      <c r="L309" s="53"/>
      <c r="M309" s="53"/>
      <c r="N309" s="5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row>
    <row r="310" spans="1:54" ht="16.5" customHeight="1">
      <c r="A310" s="3"/>
      <c r="B310" s="3"/>
      <c r="C310" s="3"/>
      <c r="D310" s="3"/>
      <c r="E310" s="3"/>
      <c r="F310" s="3"/>
      <c r="G310" s="3"/>
      <c r="H310" s="3"/>
      <c r="I310" s="53"/>
      <c r="J310" s="53"/>
      <c r="K310" s="53"/>
      <c r="L310" s="53"/>
      <c r="M310" s="53"/>
      <c r="N310" s="5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row>
    <row r="311" spans="1:54" ht="16.5" customHeight="1">
      <c r="A311" s="3"/>
      <c r="B311" s="3"/>
      <c r="C311" s="3"/>
      <c r="D311" s="3"/>
      <c r="E311" s="3"/>
      <c r="F311" s="3"/>
      <c r="G311" s="3"/>
      <c r="H311" s="3"/>
      <c r="I311" s="53"/>
      <c r="J311" s="53"/>
      <c r="K311" s="53"/>
      <c r="L311" s="53"/>
      <c r="M311" s="53"/>
      <c r="N311" s="5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row>
    <row r="312" spans="1:54" ht="16.5" customHeight="1">
      <c r="A312" s="3"/>
      <c r="B312" s="3"/>
      <c r="C312" s="3"/>
      <c r="D312" s="3"/>
      <c r="E312" s="3"/>
      <c r="F312" s="3"/>
      <c r="G312" s="3"/>
      <c r="H312" s="3"/>
      <c r="I312" s="53"/>
      <c r="J312" s="53"/>
      <c r="K312" s="53"/>
      <c r="L312" s="53"/>
      <c r="M312" s="53"/>
      <c r="N312" s="5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row>
    <row r="313" spans="1:54" ht="16.5" customHeight="1">
      <c r="A313" s="3"/>
      <c r="B313" s="3"/>
      <c r="C313" s="3"/>
      <c r="D313" s="3"/>
      <c r="E313" s="3"/>
      <c r="F313" s="3"/>
      <c r="G313" s="3"/>
      <c r="H313" s="3"/>
      <c r="I313" s="53"/>
      <c r="J313" s="53"/>
      <c r="K313" s="53"/>
      <c r="L313" s="53"/>
      <c r="M313" s="53"/>
      <c r="N313" s="5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row>
    <row r="314" spans="1:54" ht="16.5" customHeight="1">
      <c r="A314" s="3"/>
      <c r="B314" s="3"/>
      <c r="C314" s="3"/>
      <c r="D314" s="3"/>
      <c r="E314" s="3"/>
      <c r="F314" s="3"/>
      <c r="G314" s="3"/>
      <c r="H314" s="3"/>
      <c r="I314" s="53"/>
      <c r="J314" s="53"/>
      <c r="K314" s="53"/>
      <c r="L314" s="53"/>
      <c r="M314" s="53"/>
      <c r="N314" s="5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row>
    <row r="315" spans="1:54" ht="16.5" customHeight="1">
      <c r="A315" s="3"/>
      <c r="B315" s="3"/>
      <c r="C315" s="3"/>
      <c r="D315" s="3"/>
      <c r="E315" s="3"/>
      <c r="F315" s="3"/>
      <c r="G315" s="3"/>
      <c r="H315" s="3"/>
      <c r="I315" s="53"/>
      <c r="J315" s="53"/>
      <c r="K315" s="53"/>
      <c r="L315" s="53"/>
      <c r="M315" s="53"/>
      <c r="N315" s="5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row>
    <row r="316" spans="1:54" ht="16.5" customHeight="1">
      <c r="A316" s="3"/>
      <c r="B316" s="3"/>
      <c r="C316" s="3"/>
      <c r="D316" s="3"/>
      <c r="E316" s="3"/>
      <c r="F316" s="3"/>
      <c r="G316" s="3"/>
      <c r="H316" s="3"/>
      <c r="I316" s="53"/>
      <c r="J316" s="53"/>
      <c r="K316" s="53"/>
      <c r="L316" s="53"/>
      <c r="M316" s="53"/>
      <c r="N316" s="5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row>
    <row r="317" spans="1:54" ht="16.5" customHeight="1">
      <c r="A317" s="3"/>
      <c r="B317" s="3"/>
      <c r="C317" s="3"/>
      <c r="D317" s="3"/>
      <c r="E317" s="3"/>
      <c r="F317" s="3"/>
      <c r="G317" s="3"/>
      <c r="H317" s="3"/>
      <c r="I317" s="53"/>
      <c r="J317" s="53"/>
      <c r="K317" s="53"/>
      <c r="L317" s="53"/>
      <c r="M317" s="53"/>
      <c r="N317" s="5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row>
    <row r="318" spans="1:54" ht="16.5" customHeight="1">
      <c r="A318" s="3"/>
      <c r="B318" s="3"/>
      <c r="C318" s="3"/>
      <c r="D318" s="3"/>
      <c r="E318" s="3"/>
      <c r="F318" s="3"/>
      <c r="G318" s="3"/>
      <c r="H318" s="3"/>
      <c r="I318" s="53"/>
      <c r="J318" s="53"/>
      <c r="K318" s="53"/>
      <c r="L318" s="53"/>
      <c r="M318" s="53"/>
      <c r="N318" s="5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row>
    <row r="319" spans="1:54" ht="16.5" customHeight="1">
      <c r="A319" s="3"/>
      <c r="B319" s="3"/>
      <c r="C319" s="3"/>
      <c r="D319" s="3"/>
      <c r="E319" s="3"/>
      <c r="F319" s="3"/>
      <c r="G319" s="3"/>
      <c r="H319" s="3"/>
      <c r="I319" s="53"/>
      <c r="J319" s="53"/>
      <c r="K319" s="53"/>
      <c r="L319" s="53"/>
      <c r="M319" s="53"/>
      <c r="N319" s="5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row>
    <row r="320" spans="1:54" ht="16.5" customHeight="1">
      <c r="A320" s="3"/>
      <c r="B320" s="3"/>
      <c r="C320" s="3"/>
      <c r="D320" s="3"/>
      <c r="E320" s="3"/>
      <c r="F320" s="3"/>
      <c r="G320" s="3"/>
      <c r="H320" s="3"/>
      <c r="I320" s="53"/>
      <c r="J320" s="53"/>
      <c r="K320" s="53"/>
      <c r="L320" s="53"/>
      <c r="M320" s="53"/>
      <c r="N320" s="5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row>
    <row r="321" spans="1:54" ht="16.5" customHeight="1">
      <c r="A321" s="3"/>
      <c r="B321" s="3"/>
      <c r="C321" s="3"/>
      <c r="D321" s="3"/>
      <c r="E321" s="3"/>
      <c r="F321" s="3"/>
      <c r="G321" s="3"/>
      <c r="H321" s="3"/>
      <c r="I321" s="53"/>
      <c r="J321" s="53"/>
      <c r="K321" s="53"/>
      <c r="L321" s="53"/>
      <c r="M321" s="53"/>
      <c r="N321" s="5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row>
    <row r="322" spans="1:54" ht="16.5" customHeight="1">
      <c r="A322" s="3"/>
      <c r="B322" s="3"/>
      <c r="C322" s="3"/>
      <c r="D322" s="3"/>
      <c r="E322" s="3"/>
      <c r="F322" s="3"/>
      <c r="G322" s="3"/>
      <c r="H322" s="3"/>
      <c r="I322" s="53"/>
      <c r="J322" s="53"/>
      <c r="K322" s="53"/>
      <c r="L322" s="53"/>
      <c r="M322" s="53"/>
      <c r="N322" s="5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row>
    <row r="323" spans="1:54" ht="16.5" customHeight="1">
      <c r="A323" s="3"/>
      <c r="B323" s="3"/>
      <c r="C323" s="3"/>
      <c r="D323" s="3"/>
      <c r="E323" s="3"/>
      <c r="F323" s="3"/>
      <c r="G323" s="3"/>
      <c r="H323" s="3"/>
      <c r="I323" s="53"/>
      <c r="J323" s="53"/>
      <c r="K323" s="53"/>
      <c r="L323" s="53"/>
      <c r="M323" s="53"/>
      <c r="N323" s="5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row>
    <row r="324" spans="1:54" ht="16.5" customHeight="1">
      <c r="A324" s="3"/>
      <c r="B324" s="3"/>
      <c r="C324" s="3"/>
      <c r="D324" s="3"/>
      <c r="E324" s="3"/>
      <c r="F324" s="3"/>
      <c r="G324" s="3"/>
      <c r="H324" s="3"/>
      <c r="I324" s="53"/>
      <c r="J324" s="53"/>
      <c r="K324" s="53"/>
      <c r="L324" s="53"/>
      <c r="M324" s="53"/>
      <c r="N324" s="5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row>
    <row r="325" spans="1:54" ht="16.5" customHeight="1">
      <c r="A325" s="3"/>
      <c r="B325" s="3"/>
      <c r="C325" s="3"/>
      <c r="D325" s="3"/>
      <c r="E325" s="3"/>
      <c r="F325" s="3"/>
      <c r="G325" s="3"/>
      <c r="H325" s="3"/>
      <c r="I325" s="53"/>
      <c r="J325" s="53"/>
      <c r="K325" s="53"/>
      <c r="L325" s="53"/>
      <c r="M325" s="53"/>
      <c r="N325" s="5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row>
    <row r="326" spans="1:54" ht="16.5" customHeight="1">
      <c r="A326" s="3"/>
      <c r="B326" s="3"/>
      <c r="C326" s="3"/>
      <c r="D326" s="3"/>
      <c r="E326" s="3"/>
      <c r="F326" s="3"/>
      <c r="G326" s="3"/>
      <c r="H326" s="3"/>
      <c r="I326" s="53"/>
      <c r="J326" s="53"/>
      <c r="K326" s="53"/>
      <c r="L326" s="53"/>
      <c r="M326" s="53"/>
      <c r="N326" s="5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row>
    <row r="327" spans="1:54" ht="16.5" customHeight="1">
      <c r="A327" s="3"/>
      <c r="B327" s="3"/>
      <c r="C327" s="3"/>
      <c r="D327" s="3"/>
      <c r="E327" s="3"/>
      <c r="F327" s="3"/>
      <c r="G327" s="3"/>
      <c r="H327" s="3"/>
      <c r="I327" s="53"/>
      <c r="J327" s="53"/>
      <c r="K327" s="53"/>
      <c r="L327" s="53"/>
      <c r="M327" s="53"/>
      <c r="N327" s="5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row>
    <row r="328" spans="1:54" ht="16.5" customHeight="1">
      <c r="A328" s="3"/>
      <c r="B328" s="3"/>
      <c r="C328" s="3"/>
      <c r="D328" s="3"/>
      <c r="E328" s="3"/>
      <c r="F328" s="3"/>
      <c r="G328" s="3"/>
      <c r="H328" s="3"/>
      <c r="I328" s="53"/>
      <c r="J328" s="53"/>
      <c r="K328" s="53"/>
      <c r="L328" s="53"/>
      <c r="M328" s="53"/>
      <c r="N328" s="5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row>
    <row r="329" spans="1:54" ht="16.5" customHeight="1">
      <c r="A329" s="3"/>
      <c r="B329" s="3"/>
      <c r="C329" s="3"/>
      <c r="D329" s="3"/>
      <c r="E329" s="3"/>
      <c r="F329" s="3"/>
      <c r="G329" s="3"/>
      <c r="H329" s="3"/>
      <c r="I329" s="53"/>
      <c r="J329" s="53"/>
      <c r="K329" s="53"/>
      <c r="L329" s="53"/>
      <c r="M329" s="53"/>
      <c r="N329" s="5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row>
    <row r="330" spans="1:54" ht="16.5" customHeight="1">
      <c r="A330" s="3"/>
      <c r="B330" s="3"/>
      <c r="C330" s="3"/>
      <c r="D330" s="3"/>
      <c r="E330" s="3"/>
      <c r="F330" s="3"/>
      <c r="G330" s="3"/>
      <c r="H330" s="3"/>
      <c r="I330" s="53"/>
      <c r="J330" s="53"/>
      <c r="K330" s="53"/>
      <c r="L330" s="53"/>
      <c r="M330" s="53"/>
      <c r="N330" s="5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row>
    <row r="331" spans="1:54" ht="16.5" customHeight="1">
      <c r="A331" s="3"/>
      <c r="B331" s="3"/>
      <c r="C331" s="3"/>
      <c r="D331" s="3"/>
      <c r="E331" s="3"/>
      <c r="F331" s="3"/>
      <c r="G331" s="3"/>
      <c r="H331" s="3"/>
      <c r="I331" s="53"/>
      <c r="J331" s="53"/>
      <c r="K331" s="53"/>
      <c r="L331" s="53"/>
      <c r="M331" s="53"/>
      <c r="N331" s="5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row>
    <row r="332" spans="1:54" ht="16.5" customHeight="1">
      <c r="A332" s="3"/>
      <c r="B332" s="3"/>
      <c r="C332" s="3"/>
      <c r="D332" s="3"/>
      <c r="E332" s="3"/>
      <c r="F332" s="3"/>
      <c r="G332" s="3"/>
      <c r="H332" s="3"/>
      <c r="I332" s="53"/>
      <c r="J332" s="53"/>
      <c r="K332" s="53"/>
      <c r="L332" s="53"/>
      <c r="M332" s="53"/>
      <c r="N332" s="5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row>
    <row r="333" spans="1:54" ht="16.5" customHeight="1">
      <c r="A333" s="3"/>
      <c r="B333" s="3"/>
      <c r="C333" s="3"/>
      <c r="D333" s="3"/>
      <c r="E333" s="3"/>
      <c r="F333" s="3"/>
      <c r="G333" s="3"/>
      <c r="H333" s="3"/>
      <c r="I333" s="53"/>
      <c r="J333" s="53"/>
      <c r="K333" s="53"/>
      <c r="L333" s="53"/>
      <c r="M333" s="53"/>
      <c r="N333" s="5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row>
    <row r="334" spans="1:54" ht="16.5" customHeight="1">
      <c r="A334" s="3"/>
      <c r="B334" s="3"/>
      <c r="C334" s="3"/>
      <c r="D334" s="3"/>
      <c r="E334" s="3"/>
      <c r="F334" s="3"/>
      <c r="G334" s="3"/>
      <c r="H334" s="3"/>
      <c r="I334" s="53"/>
      <c r="J334" s="53"/>
      <c r="K334" s="53"/>
      <c r="L334" s="53"/>
      <c r="M334" s="53"/>
      <c r="N334" s="5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row>
    <row r="335" spans="1:54" ht="16.5" customHeight="1">
      <c r="A335" s="3"/>
      <c r="B335" s="3"/>
      <c r="C335" s="3"/>
      <c r="D335" s="3"/>
      <c r="E335" s="3"/>
      <c r="F335" s="3"/>
      <c r="G335" s="3"/>
      <c r="H335" s="3"/>
      <c r="I335" s="53"/>
      <c r="J335" s="53"/>
      <c r="K335" s="53"/>
      <c r="L335" s="53"/>
      <c r="M335" s="53"/>
      <c r="N335" s="5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row>
    <row r="336" spans="1:54" ht="16.5" customHeight="1">
      <c r="A336" s="3"/>
      <c r="B336" s="3"/>
      <c r="C336" s="3"/>
      <c r="D336" s="3"/>
      <c r="E336" s="3"/>
      <c r="F336" s="3"/>
      <c r="G336" s="3"/>
      <c r="H336" s="3"/>
      <c r="I336" s="53"/>
      <c r="J336" s="53"/>
      <c r="K336" s="53"/>
      <c r="L336" s="53"/>
      <c r="M336" s="53"/>
      <c r="N336" s="5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row>
    <row r="337" spans="1:54" ht="16.5" customHeight="1">
      <c r="A337" s="3"/>
      <c r="B337" s="3"/>
      <c r="C337" s="3"/>
      <c r="D337" s="3"/>
      <c r="E337" s="3"/>
      <c r="F337" s="3"/>
      <c r="G337" s="3"/>
      <c r="H337" s="3"/>
      <c r="I337" s="53"/>
      <c r="J337" s="53"/>
      <c r="K337" s="53"/>
      <c r="L337" s="53"/>
      <c r="M337" s="53"/>
      <c r="N337" s="5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row>
    <row r="338" spans="1:54" ht="16.5" customHeight="1">
      <c r="A338" s="3"/>
      <c r="B338" s="3"/>
      <c r="C338" s="3"/>
      <c r="D338" s="3"/>
      <c r="E338" s="3"/>
      <c r="F338" s="3"/>
      <c r="G338" s="3"/>
      <c r="H338" s="3"/>
      <c r="I338" s="53"/>
      <c r="J338" s="53"/>
      <c r="K338" s="53"/>
      <c r="L338" s="53"/>
      <c r="M338" s="53"/>
      <c r="N338" s="5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row>
    <row r="339" spans="1:54" ht="16.5" customHeight="1">
      <c r="A339" s="3"/>
      <c r="B339" s="3"/>
      <c r="C339" s="3"/>
      <c r="D339" s="3"/>
      <c r="E339" s="3"/>
      <c r="F339" s="3"/>
      <c r="G339" s="3"/>
      <c r="H339" s="3"/>
      <c r="I339" s="53"/>
      <c r="J339" s="53"/>
      <c r="K339" s="53"/>
      <c r="L339" s="53"/>
      <c r="M339" s="53"/>
      <c r="N339" s="5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row>
    <row r="340" spans="1:54" ht="16.5" customHeight="1">
      <c r="A340" s="3"/>
      <c r="B340" s="3"/>
      <c r="C340" s="3"/>
      <c r="D340" s="3"/>
      <c r="E340" s="3"/>
      <c r="F340" s="3"/>
      <c r="G340" s="3"/>
      <c r="H340" s="3"/>
      <c r="I340" s="53"/>
      <c r="J340" s="53"/>
      <c r="K340" s="53"/>
      <c r="L340" s="53"/>
      <c r="M340" s="53"/>
      <c r="N340" s="5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row>
    <row r="341" spans="1:54" ht="16.5" customHeight="1">
      <c r="A341" s="3"/>
      <c r="B341" s="3"/>
      <c r="C341" s="3"/>
      <c r="D341" s="3"/>
      <c r="E341" s="3"/>
      <c r="F341" s="3"/>
      <c r="G341" s="3"/>
      <c r="H341" s="3"/>
      <c r="I341" s="53"/>
      <c r="J341" s="53"/>
      <c r="K341" s="53"/>
      <c r="L341" s="53"/>
      <c r="M341" s="53"/>
      <c r="N341" s="5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row>
    <row r="342" spans="1:54" ht="16.5" customHeight="1">
      <c r="A342" s="3"/>
      <c r="B342" s="3"/>
      <c r="C342" s="3"/>
      <c r="D342" s="3"/>
      <c r="E342" s="3"/>
      <c r="F342" s="3"/>
      <c r="G342" s="3"/>
      <c r="H342" s="3"/>
      <c r="I342" s="53"/>
      <c r="J342" s="53"/>
      <c r="K342" s="53"/>
      <c r="L342" s="53"/>
      <c r="M342" s="53"/>
      <c r="N342" s="5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row>
    <row r="343" spans="1:54" ht="16.5" customHeight="1">
      <c r="A343" s="3"/>
      <c r="B343" s="3"/>
      <c r="C343" s="3"/>
      <c r="D343" s="3"/>
      <c r="E343" s="3"/>
      <c r="F343" s="3"/>
      <c r="G343" s="3"/>
      <c r="H343" s="3"/>
      <c r="I343" s="53"/>
      <c r="J343" s="53"/>
      <c r="K343" s="53"/>
      <c r="L343" s="53"/>
      <c r="M343" s="53"/>
      <c r="N343" s="5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row>
    <row r="344" spans="1:54" ht="16.5" customHeight="1">
      <c r="A344" s="3"/>
      <c r="B344" s="3"/>
      <c r="C344" s="3"/>
      <c r="D344" s="3"/>
      <c r="E344" s="3"/>
      <c r="F344" s="3"/>
      <c r="G344" s="3"/>
      <c r="H344" s="3"/>
      <c r="I344" s="53"/>
      <c r="J344" s="53"/>
      <c r="K344" s="53"/>
      <c r="L344" s="53"/>
      <c r="M344" s="53"/>
      <c r="N344" s="5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row>
    <row r="345" spans="1:54" ht="16.5" customHeight="1">
      <c r="A345" s="3"/>
      <c r="B345" s="3"/>
      <c r="C345" s="3"/>
      <c r="D345" s="3"/>
      <c r="E345" s="3"/>
      <c r="F345" s="3"/>
      <c r="G345" s="3"/>
      <c r="H345" s="3"/>
      <c r="I345" s="53"/>
      <c r="J345" s="53"/>
      <c r="K345" s="53"/>
      <c r="L345" s="53"/>
      <c r="M345" s="53"/>
      <c r="N345" s="5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row>
    <row r="346" spans="1:54" ht="16.5" customHeight="1">
      <c r="A346" s="3"/>
      <c r="B346" s="3"/>
      <c r="C346" s="3"/>
      <c r="D346" s="3"/>
      <c r="E346" s="3"/>
      <c r="F346" s="3"/>
      <c r="G346" s="3"/>
      <c r="H346" s="3"/>
      <c r="I346" s="53"/>
      <c r="J346" s="53"/>
      <c r="K346" s="53"/>
      <c r="L346" s="53"/>
      <c r="M346" s="53"/>
      <c r="N346" s="5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row>
    <row r="347" spans="1:54" ht="16.5" customHeight="1">
      <c r="A347" s="3"/>
      <c r="B347" s="3"/>
      <c r="C347" s="3"/>
      <c r="D347" s="3"/>
      <c r="E347" s="3"/>
      <c r="F347" s="3"/>
      <c r="G347" s="3"/>
      <c r="H347" s="3"/>
      <c r="I347" s="53"/>
      <c r="J347" s="53"/>
      <c r="K347" s="53"/>
      <c r="L347" s="53"/>
      <c r="M347" s="53"/>
      <c r="N347" s="5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row>
    <row r="348" spans="1:54" ht="16.5" customHeight="1">
      <c r="A348" s="3"/>
      <c r="B348" s="3"/>
      <c r="C348" s="3"/>
      <c r="D348" s="3"/>
      <c r="E348" s="3"/>
      <c r="F348" s="3"/>
      <c r="G348" s="3"/>
      <c r="H348" s="3"/>
      <c r="I348" s="53"/>
      <c r="J348" s="53"/>
      <c r="K348" s="53"/>
      <c r="L348" s="53"/>
      <c r="M348" s="53"/>
      <c r="N348" s="5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row>
    <row r="349" spans="1:54" ht="16.5" customHeight="1">
      <c r="A349" s="3"/>
      <c r="B349" s="3"/>
      <c r="C349" s="3"/>
      <c r="D349" s="3"/>
      <c r="E349" s="3"/>
      <c r="F349" s="3"/>
      <c r="G349" s="3"/>
      <c r="H349" s="3"/>
      <c r="I349" s="53"/>
      <c r="J349" s="53"/>
      <c r="K349" s="53"/>
      <c r="L349" s="53"/>
      <c r="M349" s="53"/>
      <c r="N349" s="5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row>
    <row r="350" spans="1:54" ht="16.5" customHeight="1">
      <c r="A350" s="3"/>
      <c r="B350" s="3"/>
      <c r="C350" s="3"/>
      <c r="D350" s="3"/>
      <c r="E350" s="3"/>
      <c r="F350" s="3"/>
      <c r="G350" s="3"/>
      <c r="H350" s="3"/>
      <c r="I350" s="53"/>
      <c r="J350" s="53"/>
      <c r="K350" s="53"/>
      <c r="L350" s="53"/>
      <c r="M350" s="53"/>
      <c r="N350" s="5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row>
    <row r="351" spans="1:54" ht="16.5" customHeight="1">
      <c r="A351" s="3"/>
      <c r="B351" s="3"/>
      <c r="C351" s="3"/>
      <c r="D351" s="3"/>
      <c r="E351" s="3"/>
      <c r="F351" s="3"/>
      <c r="G351" s="3"/>
      <c r="H351" s="3"/>
      <c r="I351" s="53"/>
      <c r="J351" s="53"/>
      <c r="K351" s="53"/>
      <c r="L351" s="53"/>
      <c r="M351" s="53"/>
      <c r="N351" s="5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row>
    <row r="352" spans="1:54" ht="16.5" customHeight="1">
      <c r="A352" s="3"/>
      <c r="B352" s="3"/>
      <c r="C352" s="3"/>
      <c r="D352" s="3"/>
      <c r="E352" s="3"/>
      <c r="F352" s="3"/>
      <c r="G352" s="3"/>
      <c r="H352" s="3"/>
      <c r="I352" s="53"/>
      <c r="J352" s="53"/>
      <c r="K352" s="53"/>
      <c r="L352" s="53"/>
      <c r="M352" s="53"/>
      <c r="N352" s="5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row>
    <row r="353" spans="1:54" ht="16.5" customHeight="1">
      <c r="A353" s="3"/>
      <c r="B353" s="3"/>
      <c r="C353" s="3"/>
      <c r="D353" s="3"/>
      <c r="E353" s="3"/>
      <c r="F353" s="3"/>
      <c r="G353" s="3"/>
      <c r="H353" s="3"/>
      <c r="I353" s="53"/>
      <c r="J353" s="53"/>
      <c r="K353" s="53"/>
      <c r="L353" s="53"/>
      <c r="M353" s="53"/>
      <c r="N353" s="5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row>
    <row r="354" spans="1:54" ht="16.5" customHeight="1">
      <c r="A354" s="3"/>
      <c r="B354" s="3"/>
      <c r="C354" s="3"/>
      <c r="D354" s="3"/>
      <c r="E354" s="3"/>
      <c r="F354" s="3"/>
      <c r="G354" s="3"/>
      <c r="H354" s="3"/>
      <c r="I354" s="53"/>
      <c r="J354" s="53"/>
      <c r="K354" s="53"/>
      <c r="L354" s="53"/>
      <c r="M354" s="53"/>
      <c r="N354" s="5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row>
    <row r="355" spans="1:54" ht="16.5" customHeight="1">
      <c r="A355" s="3"/>
      <c r="B355" s="3"/>
      <c r="C355" s="3"/>
      <c r="D355" s="3"/>
      <c r="E355" s="3"/>
      <c r="F355" s="3"/>
      <c r="G355" s="3"/>
      <c r="H355" s="3"/>
      <c r="I355" s="53"/>
      <c r="J355" s="53"/>
      <c r="K355" s="53"/>
      <c r="L355" s="53"/>
      <c r="M355" s="53"/>
      <c r="N355" s="5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row>
    <row r="356" spans="1:54" ht="16.5" customHeight="1">
      <c r="A356" s="3"/>
      <c r="B356" s="3"/>
      <c r="C356" s="3"/>
      <c r="D356" s="3"/>
      <c r="E356" s="3"/>
      <c r="F356" s="3"/>
      <c r="G356" s="3"/>
      <c r="H356" s="3"/>
      <c r="I356" s="53"/>
      <c r="J356" s="53"/>
      <c r="K356" s="53"/>
      <c r="L356" s="53"/>
      <c r="M356" s="53"/>
      <c r="N356" s="5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row>
    <row r="357" spans="1:54" ht="16.5" customHeight="1">
      <c r="A357" s="3"/>
      <c r="B357" s="3"/>
      <c r="C357" s="3"/>
      <c r="D357" s="3"/>
      <c r="E357" s="3"/>
      <c r="F357" s="3"/>
      <c r="G357" s="3"/>
      <c r="H357" s="3"/>
      <c r="I357" s="53"/>
      <c r="J357" s="53"/>
      <c r="K357" s="53"/>
      <c r="L357" s="53"/>
      <c r="M357" s="53"/>
      <c r="N357" s="5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row>
    <row r="358" spans="1:54" ht="16.5" customHeight="1">
      <c r="A358" s="3"/>
      <c r="B358" s="3"/>
      <c r="C358" s="3"/>
      <c r="D358" s="3"/>
      <c r="E358" s="3"/>
      <c r="F358" s="3"/>
      <c r="G358" s="3"/>
      <c r="H358" s="3"/>
      <c r="I358" s="53"/>
      <c r="J358" s="53"/>
      <c r="K358" s="53"/>
      <c r="L358" s="53"/>
      <c r="M358" s="53"/>
      <c r="N358" s="5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row>
    <row r="359" spans="1:54" ht="16.5" customHeight="1">
      <c r="A359" s="3"/>
      <c r="B359" s="3"/>
      <c r="C359" s="3"/>
      <c r="D359" s="3"/>
      <c r="E359" s="3"/>
      <c r="F359" s="3"/>
      <c r="G359" s="3"/>
      <c r="H359" s="3"/>
      <c r="I359" s="53"/>
      <c r="J359" s="53"/>
      <c r="K359" s="53"/>
      <c r="L359" s="53"/>
      <c r="M359" s="53"/>
      <c r="N359" s="5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row>
    <row r="360" spans="1:54" ht="16.5" customHeight="1">
      <c r="A360" s="3"/>
      <c r="B360" s="3"/>
      <c r="C360" s="3"/>
      <c r="D360" s="3"/>
      <c r="E360" s="3"/>
      <c r="F360" s="3"/>
      <c r="G360" s="3"/>
      <c r="H360" s="3"/>
      <c r="I360" s="53"/>
      <c r="J360" s="53"/>
      <c r="K360" s="53"/>
      <c r="L360" s="53"/>
      <c r="M360" s="53"/>
      <c r="N360" s="5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row>
    <row r="361" spans="1:54" ht="16.5" customHeight="1">
      <c r="A361" s="3"/>
      <c r="B361" s="3"/>
      <c r="C361" s="3"/>
      <c r="D361" s="3"/>
      <c r="E361" s="3"/>
      <c r="F361" s="3"/>
      <c r="G361" s="3"/>
      <c r="H361" s="3"/>
      <c r="I361" s="53"/>
      <c r="J361" s="53"/>
      <c r="K361" s="53"/>
      <c r="L361" s="53"/>
      <c r="M361" s="53"/>
      <c r="N361" s="5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row>
    <row r="362" spans="1:54" ht="16.5" customHeight="1">
      <c r="A362" s="3"/>
      <c r="B362" s="3"/>
      <c r="C362" s="3"/>
      <c r="D362" s="3"/>
      <c r="E362" s="3"/>
      <c r="F362" s="3"/>
      <c r="G362" s="3"/>
      <c r="H362" s="3"/>
      <c r="I362" s="53"/>
      <c r="J362" s="53"/>
      <c r="K362" s="53"/>
      <c r="L362" s="53"/>
      <c r="M362" s="53"/>
      <c r="N362" s="5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row>
    <row r="363" spans="1:54" ht="16.5" customHeight="1">
      <c r="A363" s="3"/>
      <c r="B363" s="3"/>
      <c r="C363" s="3"/>
      <c r="D363" s="3"/>
      <c r="E363" s="3"/>
      <c r="F363" s="3"/>
      <c r="G363" s="3"/>
      <c r="H363" s="3"/>
      <c r="I363" s="53"/>
      <c r="J363" s="53"/>
      <c r="K363" s="53"/>
      <c r="L363" s="53"/>
      <c r="M363" s="53"/>
      <c r="N363" s="5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row>
    <row r="364" spans="1:54" ht="16.5" customHeight="1">
      <c r="A364" s="3"/>
      <c r="B364" s="3"/>
      <c r="C364" s="3"/>
      <c r="D364" s="3"/>
      <c r="E364" s="3"/>
      <c r="F364" s="3"/>
      <c r="G364" s="3"/>
      <c r="H364" s="3"/>
      <c r="I364" s="53"/>
      <c r="J364" s="53"/>
      <c r="K364" s="53"/>
      <c r="L364" s="53"/>
      <c r="M364" s="53"/>
      <c r="N364" s="5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row>
    <row r="365" spans="1:54" ht="16.5" customHeight="1">
      <c r="A365" s="3"/>
      <c r="B365" s="3"/>
      <c r="C365" s="3"/>
      <c r="D365" s="3"/>
      <c r="E365" s="3"/>
      <c r="F365" s="3"/>
      <c r="G365" s="3"/>
      <c r="H365" s="3"/>
      <c r="I365" s="53"/>
      <c r="J365" s="53"/>
      <c r="K365" s="53"/>
      <c r="L365" s="53"/>
      <c r="M365" s="53"/>
      <c r="N365" s="5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row>
    <row r="366" spans="1:54" ht="16.5" customHeight="1">
      <c r="A366" s="3"/>
      <c r="B366" s="3"/>
      <c r="C366" s="3"/>
      <c r="D366" s="3"/>
      <c r="E366" s="3"/>
      <c r="F366" s="3"/>
      <c r="G366" s="3"/>
      <c r="H366" s="3"/>
      <c r="I366" s="53"/>
      <c r="J366" s="53"/>
      <c r="K366" s="53"/>
      <c r="L366" s="53"/>
      <c r="M366" s="53"/>
      <c r="N366" s="5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row>
    <row r="367" spans="1:54" ht="16.5" customHeight="1">
      <c r="A367" s="3"/>
      <c r="B367" s="3"/>
      <c r="C367" s="3"/>
      <c r="D367" s="3"/>
      <c r="E367" s="3"/>
      <c r="F367" s="3"/>
      <c r="G367" s="3"/>
      <c r="H367" s="3"/>
      <c r="I367" s="53"/>
      <c r="J367" s="53"/>
      <c r="K367" s="53"/>
      <c r="L367" s="53"/>
      <c r="M367" s="53"/>
      <c r="N367" s="5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row>
    <row r="368" spans="1:54" ht="16.5" customHeight="1">
      <c r="A368" s="3"/>
      <c r="B368" s="3"/>
      <c r="C368" s="3"/>
      <c r="D368" s="3"/>
      <c r="E368" s="3"/>
      <c r="F368" s="3"/>
      <c r="G368" s="3"/>
      <c r="H368" s="3"/>
      <c r="I368" s="53"/>
      <c r="J368" s="53"/>
      <c r="K368" s="53"/>
      <c r="L368" s="53"/>
      <c r="M368" s="53"/>
      <c r="N368" s="5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row>
    <row r="369" spans="1:54" ht="16.5" customHeight="1">
      <c r="A369" s="3"/>
      <c r="B369" s="3"/>
      <c r="C369" s="3"/>
      <c r="D369" s="3"/>
      <c r="E369" s="3"/>
      <c r="F369" s="3"/>
      <c r="G369" s="3"/>
      <c r="H369" s="3"/>
      <c r="I369" s="53"/>
      <c r="J369" s="53"/>
      <c r="K369" s="53"/>
      <c r="L369" s="53"/>
      <c r="M369" s="53"/>
      <c r="N369" s="5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row>
    <row r="370" spans="1:54" ht="16.5" customHeight="1">
      <c r="A370" s="3"/>
      <c r="B370" s="3"/>
      <c r="C370" s="3"/>
      <c r="D370" s="3"/>
      <c r="E370" s="3"/>
      <c r="F370" s="3"/>
      <c r="G370" s="3"/>
      <c r="H370" s="3"/>
      <c r="I370" s="53"/>
      <c r="J370" s="53"/>
      <c r="K370" s="53"/>
      <c r="L370" s="53"/>
      <c r="M370" s="53"/>
      <c r="N370" s="5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row>
    <row r="371" spans="1:54" ht="16.5" customHeight="1">
      <c r="A371" s="3"/>
      <c r="B371" s="3"/>
      <c r="C371" s="3"/>
      <c r="D371" s="3"/>
      <c r="E371" s="3"/>
      <c r="F371" s="3"/>
      <c r="G371" s="3"/>
      <c r="H371" s="3"/>
      <c r="I371" s="53"/>
      <c r="J371" s="53"/>
      <c r="K371" s="53"/>
      <c r="L371" s="53"/>
      <c r="M371" s="53"/>
      <c r="N371" s="5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row>
    <row r="372" spans="1:54" ht="16.5" customHeight="1">
      <c r="A372" s="3"/>
      <c r="B372" s="3"/>
      <c r="C372" s="3"/>
      <c r="D372" s="3"/>
      <c r="E372" s="3"/>
      <c r="F372" s="3"/>
      <c r="G372" s="3"/>
      <c r="H372" s="3"/>
      <c r="I372" s="53"/>
      <c r="J372" s="53"/>
      <c r="K372" s="53"/>
      <c r="L372" s="53"/>
      <c r="M372" s="53"/>
      <c r="N372" s="5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row>
    <row r="373" spans="1:54" ht="16.5" customHeight="1">
      <c r="A373" s="3"/>
      <c r="B373" s="3"/>
      <c r="C373" s="3"/>
      <c r="D373" s="3"/>
      <c r="E373" s="3"/>
      <c r="F373" s="3"/>
      <c r="G373" s="3"/>
      <c r="H373" s="3"/>
      <c r="I373" s="53"/>
      <c r="J373" s="53"/>
      <c r="K373" s="53"/>
      <c r="L373" s="53"/>
      <c r="M373" s="53"/>
      <c r="N373" s="5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row>
    <row r="374" spans="1:54" ht="16.5" customHeight="1">
      <c r="A374" s="3"/>
      <c r="B374" s="3"/>
      <c r="C374" s="3"/>
      <c r="D374" s="3"/>
      <c r="E374" s="3"/>
      <c r="F374" s="3"/>
      <c r="G374" s="3"/>
      <c r="H374" s="3"/>
      <c r="I374" s="53"/>
      <c r="J374" s="53"/>
      <c r="K374" s="53"/>
      <c r="L374" s="53"/>
      <c r="M374" s="53"/>
      <c r="N374" s="5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row>
    <row r="375" spans="1:54" ht="16.5" customHeight="1">
      <c r="A375" s="3"/>
      <c r="B375" s="3"/>
      <c r="C375" s="3"/>
      <c r="D375" s="3"/>
      <c r="E375" s="3"/>
      <c r="F375" s="3"/>
      <c r="G375" s="3"/>
      <c r="H375" s="3"/>
      <c r="I375" s="53"/>
      <c r="J375" s="53"/>
      <c r="K375" s="53"/>
      <c r="L375" s="53"/>
      <c r="M375" s="53"/>
      <c r="N375" s="5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row>
    <row r="376" spans="1:54" ht="16.5" customHeight="1">
      <c r="A376" s="3"/>
      <c r="B376" s="3"/>
      <c r="C376" s="3"/>
      <c r="D376" s="3"/>
      <c r="E376" s="3"/>
      <c r="F376" s="3"/>
      <c r="G376" s="3"/>
      <c r="H376" s="3"/>
      <c r="I376" s="53"/>
      <c r="J376" s="53"/>
      <c r="K376" s="53"/>
      <c r="L376" s="53"/>
      <c r="M376" s="53"/>
      <c r="N376" s="5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row>
    <row r="377" spans="1:54" ht="16.5" customHeight="1">
      <c r="A377" s="3"/>
      <c r="B377" s="3"/>
      <c r="C377" s="3"/>
      <c r="D377" s="3"/>
      <c r="E377" s="3"/>
      <c r="F377" s="3"/>
      <c r="G377" s="3"/>
      <c r="H377" s="3"/>
      <c r="I377" s="53"/>
      <c r="J377" s="53"/>
      <c r="K377" s="53"/>
      <c r="L377" s="53"/>
      <c r="M377" s="53"/>
      <c r="N377" s="5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row>
    <row r="378" spans="1:54" ht="16.5" customHeight="1">
      <c r="A378" s="3"/>
      <c r="B378" s="3"/>
      <c r="C378" s="3"/>
      <c r="D378" s="3"/>
      <c r="E378" s="3"/>
      <c r="F378" s="3"/>
      <c r="G378" s="3"/>
      <c r="H378" s="3"/>
      <c r="I378" s="53"/>
      <c r="J378" s="53"/>
      <c r="K378" s="53"/>
      <c r="L378" s="53"/>
      <c r="M378" s="53"/>
      <c r="N378" s="5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row>
  </sheetData>
  <mergeCells count="5">
    <mergeCell ref="C4:F4"/>
    <mergeCell ref="G2:H3"/>
    <mergeCell ref="I4:I5"/>
    <mergeCell ref="I7:I8"/>
    <mergeCell ref="I2:I3"/>
  </mergeCells>
  <phoneticPr fontId="10" type="noConversion"/>
  <conditionalFormatting sqref="C2:C3 I4:I5 D6:F6 I7:I8 C11:C110 F11:N110">
    <cfRule type="expression" dxfId="10" priority="2">
      <formula>LEN(TRIM(C2))=0</formula>
    </cfRule>
  </conditionalFormatting>
  <conditionalFormatting sqref="D7">
    <cfRule type="cellIs" dxfId="9" priority="6" operator="greaterThan">
      <formula>$D$6</formula>
    </cfRule>
  </conditionalFormatting>
  <conditionalFormatting sqref="D11:E110">
    <cfRule type="expression" dxfId="8" priority="12">
      <formula>LEN(TRIM(D11))=0</formula>
    </cfRule>
  </conditionalFormatting>
  <conditionalFormatting sqref="E7">
    <cfRule type="cellIs" dxfId="7" priority="5" operator="greaterThan">
      <formula>$E$6</formula>
    </cfRule>
  </conditionalFormatting>
  <conditionalFormatting sqref="F7">
    <cfRule type="cellIs" dxfId="6" priority="4" operator="greaterThan">
      <formula>$F$6</formula>
    </cfRule>
  </conditionalFormatting>
  <conditionalFormatting sqref="F8">
    <cfRule type="cellIs" dxfId="5" priority="3" operator="greaterThan">
      <formula>$D$8</formula>
    </cfRule>
  </conditionalFormatting>
  <conditionalFormatting sqref="F11:F110">
    <cfRule type="cellIs" dxfId="4" priority="7" operator="equal">
      <formula>"하"</formula>
    </cfRule>
    <cfRule type="cellIs" dxfId="3" priority="8" operator="equal">
      <formula>"중"</formula>
    </cfRule>
    <cfRule type="cellIs" dxfId="2" priority="9" operator="equal">
      <formula>"상"</formula>
    </cfRule>
  </conditionalFormatting>
  <conditionalFormatting sqref="H4:H8">
    <cfRule type="aboveAverage" dxfId="1" priority="10" aboveAverage="0"/>
    <cfRule type="aboveAverage" dxfId="0" priority="11"/>
  </conditionalFormatting>
  <dataValidations count="2">
    <dataValidation type="list" allowBlank="1" showInputMessage="1" showErrorMessage="1" sqref="G11:G110" xr:uid="{00000000-0002-0000-0000-000000000000}">
      <formula1>"단일 정답형, 합답형, 불완전 문장형, 짝짓기형"</formula1>
    </dataValidation>
    <dataValidation type="list" allowBlank="1" showInputMessage="1" showErrorMessage="1" sqref="F11:F110" xr:uid="{00000000-0002-0000-0000-000001000000}">
      <formula1>"상,중,하"</formula1>
      <formula2>0</formula2>
    </dataValidation>
  </dataValidations>
  <pageMargins left="0.7" right="0.7" top="0.75" bottom="0.75" header="0.511811023622047" footer="0.511811023622047"/>
  <pageSetup paperSize="9" scale="15" orientation="portrait" horizontalDpi="300" verticalDpi="300"/>
  <rowBreaks count="34" manualBreakCount="34">
    <brk id="12" max="16383" man="1"/>
    <brk id="15" max="16383" man="1"/>
    <brk id="18" max="16383" man="1"/>
    <brk id="21" max="16383" man="1"/>
    <brk id="24" max="16383" man="1"/>
    <brk id="27" max="16383" man="1"/>
    <brk id="30" max="16383" man="1"/>
    <brk id="33" max="16383" man="1"/>
    <brk id="36" max="16383" man="1"/>
    <brk id="39" max="16383" man="1"/>
    <brk id="42" max="16383" man="1"/>
    <brk id="45" max="16383" man="1"/>
    <brk id="48" max="16383" man="1"/>
    <brk id="51" max="16383" man="1"/>
    <brk id="54" max="16383" man="1"/>
    <brk id="57" max="16383" man="1"/>
    <brk id="60" max="16383" man="1"/>
    <brk id="63" max="16383" man="1"/>
    <brk id="66" max="16383" man="1"/>
    <brk id="69" max="16383" man="1"/>
    <brk id="72" max="16383" man="1"/>
    <brk id="75" max="16383" man="1"/>
    <brk id="78" max="16383" man="1"/>
    <brk id="81" max="16383" man="1"/>
    <brk id="84" max="16383" man="1"/>
    <brk id="87" max="16383" man="1"/>
    <brk id="90" max="16383" man="1"/>
    <brk id="93" max="16383" man="1"/>
    <brk id="96" max="16383" man="1"/>
    <brk id="99" max="16383" man="1"/>
    <brk id="102" max="16383" man="1"/>
    <brk id="105" max="16383" man="1"/>
    <brk id="108" max="16383" man="1"/>
    <brk id="110" max="16383" man="1"/>
  </rowBreaks>
  <colBreaks count="1" manualBreakCount="1">
    <brk id="1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3056"/>
  <sheetViews>
    <sheetView topLeftCell="B197" zoomScaleNormal="100" workbookViewId="0">
      <selection activeCell="C203" sqref="C203"/>
    </sheetView>
  </sheetViews>
  <sheetFormatPr defaultColWidth="9" defaultRowHeight="16.5"/>
  <cols>
    <col min="1" max="1" width="2.625" style="54" customWidth="1"/>
    <col min="2" max="2" width="6.75" style="54" customWidth="1"/>
    <col min="3" max="3" width="15.5" style="55" customWidth="1"/>
    <col min="4" max="4" width="86.375" style="55" customWidth="1"/>
    <col min="5" max="5" width="106.875" style="56" customWidth="1"/>
    <col min="6" max="6" width="9" style="54" customWidth="1"/>
    <col min="7" max="16384" width="9" style="54"/>
  </cols>
  <sheetData>
    <row r="1" spans="2:5" ht="11.25" customHeight="1">
      <c r="C1" s="54"/>
      <c r="D1" s="54"/>
      <c r="E1" s="54"/>
    </row>
    <row r="2" spans="2:5" ht="17.25" customHeight="1">
      <c r="B2" s="57" t="s">
        <v>35</v>
      </c>
      <c r="C2" s="58" t="s">
        <v>20</v>
      </c>
      <c r="D2" s="58" t="s">
        <v>21</v>
      </c>
      <c r="E2" s="59" t="s">
        <v>22</v>
      </c>
    </row>
    <row r="3" spans="2:5" ht="33.75" customHeight="1">
      <c r="B3" s="60">
        <v>1</v>
      </c>
      <c r="C3" s="61" t="s">
        <v>36</v>
      </c>
      <c r="D3" s="62" t="s">
        <v>37</v>
      </c>
      <c r="E3" s="63" t="s">
        <v>38</v>
      </c>
    </row>
    <row r="4" spans="2:5" ht="33.75" customHeight="1">
      <c r="B4" s="60">
        <v>2</v>
      </c>
      <c r="C4" s="61" t="s">
        <v>39</v>
      </c>
      <c r="D4" s="62" t="s">
        <v>40</v>
      </c>
      <c r="E4" s="63" t="s">
        <v>41</v>
      </c>
    </row>
    <row r="5" spans="2:5" ht="33.75" customHeight="1">
      <c r="B5" s="60">
        <v>3</v>
      </c>
      <c r="C5" s="61" t="s">
        <v>42</v>
      </c>
      <c r="D5" s="62" t="s">
        <v>43</v>
      </c>
      <c r="E5" s="63"/>
    </row>
    <row r="6" spans="2:5" ht="33.75" customHeight="1">
      <c r="B6" s="60">
        <v>4</v>
      </c>
      <c r="C6" s="61" t="s">
        <v>44</v>
      </c>
      <c r="D6" s="62" t="s">
        <v>45</v>
      </c>
      <c r="E6" s="63" t="s">
        <v>46</v>
      </c>
    </row>
    <row r="7" spans="2:5" ht="33.75" customHeight="1">
      <c r="B7" s="60">
        <v>5</v>
      </c>
      <c r="C7" s="61" t="s">
        <v>47</v>
      </c>
      <c r="D7" s="62" t="s">
        <v>48</v>
      </c>
      <c r="E7" s="63" t="s">
        <v>49</v>
      </c>
    </row>
    <row r="8" spans="2:5" ht="33.75" customHeight="1">
      <c r="B8" s="60">
        <v>6</v>
      </c>
      <c r="C8" s="61" t="s">
        <v>50</v>
      </c>
      <c r="D8" s="62" t="s">
        <v>51</v>
      </c>
      <c r="E8" s="63" t="s">
        <v>52</v>
      </c>
    </row>
    <row r="9" spans="2:5" ht="33.75" customHeight="1">
      <c r="B9" s="60">
        <v>7</v>
      </c>
      <c r="C9" s="61" t="s">
        <v>53</v>
      </c>
      <c r="D9" s="62" t="s">
        <v>54</v>
      </c>
      <c r="E9" s="63" t="s">
        <v>55</v>
      </c>
    </row>
    <row r="10" spans="2:5" ht="33.75" customHeight="1">
      <c r="B10" s="60">
        <v>8</v>
      </c>
      <c r="C10" s="61" t="s">
        <v>56</v>
      </c>
      <c r="D10" s="62" t="s">
        <v>57</v>
      </c>
      <c r="E10" s="63" t="s">
        <v>58</v>
      </c>
    </row>
    <row r="11" spans="2:5" ht="33.75" customHeight="1">
      <c r="B11" s="60">
        <v>9</v>
      </c>
      <c r="C11" s="61" t="s">
        <v>59</v>
      </c>
      <c r="D11" s="62" t="s">
        <v>60</v>
      </c>
      <c r="E11" s="63" t="s">
        <v>61</v>
      </c>
    </row>
    <row r="12" spans="2:5" ht="33.75" customHeight="1">
      <c r="B12" s="60">
        <v>10</v>
      </c>
      <c r="C12" s="61" t="s">
        <v>62</v>
      </c>
      <c r="D12" s="62" t="s">
        <v>63</v>
      </c>
      <c r="E12" s="63" t="s">
        <v>64</v>
      </c>
    </row>
    <row r="13" spans="2:5" ht="33.75" customHeight="1">
      <c r="B13" s="60">
        <v>11</v>
      </c>
      <c r="C13" s="61" t="s">
        <v>65</v>
      </c>
      <c r="D13" s="62" t="s">
        <v>66</v>
      </c>
      <c r="E13" s="63" t="s">
        <v>67</v>
      </c>
    </row>
    <row r="14" spans="2:5" ht="33.75" customHeight="1">
      <c r="B14" s="60">
        <v>12</v>
      </c>
      <c r="C14" s="61" t="s">
        <v>68</v>
      </c>
      <c r="D14" s="62" t="s">
        <v>69</v>
      </c>
      <c r="E14" s="63" t="s">
        <v>67</v>
      </c>
    </row>
    <row r="15" spans="2:5" ht="33.75" customHeight="1">
      <c r="B15" s="60">
        <v>13</v>
      </c>
      <c r="C15" s="61" t="s">
        <v>70</v>
      </c>
      <c r="D15" s="62" t="s">
        <v>71</v>
      </c>
      <c r="E15" s="63" t="s">
        <v>72</v>
      </c>
    </row>
    <row r="16" spans="2:5" ht="33.75" customHeight="1">
      <c r="B16" s="60">
        <v>14</v>
      </c>
      <c r="C16" s="61" t="s">
        <v>73</v>
      </c>
      <c r="D16" s="62" t="s">
        <v>74</v>
      </c>
      <c r="E16" s="63" t="s">
        <v>75</v>
      </c>
    </row>
    <row r="17" spans="2:5" ht="33.75" customHeight="1">
      <c r="B17" s="60">
        <v>15</v>
      </c>
      <c r="C17" s="61" t="s">
        <v>76</v>
      </c>
      <c r="D17" s="62" t="s">
        <v>77</v>
      </c>
      <c r="E17" s="63" t="s">
        <v>78</v>
      </c>
    </row>
    <row r="18" spans="2:5" ht="33.75" customHeight="1">
      <c r="B18" s="60">
        <v>16</v>
      </c>
      <c r="C18" s="61" t="s">
        <v>79</v>
      </c>
      <c r="D18" s="62" t="s">
        <v>80</v>
      </c>
      <c r="E18" s="63" t="s">
        <v>81</v>
      </c>
    </row>
    <row r="19" spans="2:5" ht="33.75" customHeight="1">
      <c r="B19" s="60">
        <v>17</v>
      </c>
      <c r="C19" s="61" t="s">
        <v>82</v>
      </c>
      <c r="D19" s="62" t="s">
        <v>83</v>
      </c>
      <c r="E19" s="63" t="s">
        <v>84</v>
      </c>
    </row>
    <row r="20" spans="2:5" ht="33.75" customHeight="1">
      <c r="B20" s="60">
        <v>18</v>
      </c>
      <c r="C20" s="61" t="s">
        <v>85</v>
      </c>
      <c r="D20" s="62" t="s">
        <v>86</v>
      </c>
      <c r="E20" s="63" t="s">
        <v>87</v>
      </c>
    </row>
    <row r="21" spans="2:5" ht="33.75" customHeight="1">
      <c r="B21" s="60">
        <v>19</v>
      </c>
      <c r="C21" s="61" t="s">
        <v>88</v>
      </c>
      <c r="D21" s="62" t="s">
        <v>89</v>
      </c>
      <c r="E21" s="63" t="s">
        <v>90</v>
      </c>
    </row>
    <row r="22" spans="2:5" ht="33.75" customHeight="1">
      <c r="B22" s="60">
        <v>20</v>
      </c>
      <c r="C22" s="61" t="s">
        <v>91</v>
      </c>
      <c r="D22" s="62" t="s">
        <v>92</v>
      </c>
      <c r="E22" s="63" t="s">
        <v>93</v>
      </c>
    </row>
    <row r="23" spans="2:5" ht="33.75" customHeight="1">
      <c r="B23" s="60">
        <v>21</v>
      </c>
      <c r="C23" s="61" t="s">
        <v>94</v>
      </c>
      <c r="D23" s="62" t="s">
        <v>95</v>
      </c>
      <c r="E23" s="63" t="s">
        <v>96</v>
      </c>
    </row>
    <row r="24" spans="2:5" ht="33.75" customHeight="1">
      <c r="B24" s="60">
        <v>22</v>
      </c>
      <c r="C24" s="61" t="s">
        <v>97</v>
      </c>
      <c r="D24" s="62" t="s">
        <v>98</v>
      </c>
      <c r="E24" s="63" t="s">
        <v>96</v>
      </c>
    </row>
    <row r="25" spans="2:5" ht="33.75" customHeight="1">
      <c r="B25" s="60">
        <v>23</v>
      </c>
      <c r="C25" s="61" t="s">
        <v>99</v>
      </c>
      <c r="D25" s="62" t="s">
        <v>100</v>
      </c>
      <c r="E25" s="63" t="s">
        <v>101</v>
      </c>
    </row>
    <row r="26" spans="2:5" ht="33.75" customHeight="1">
      <c r="B26" s="60">
        <v>24</v>
      </c>
      <c r="C26" s="61" t="s">
        <v>102</v>
      </c>
      <c r="D26" s="62" t="s">
        <v>103</v>
      </c>
      <c r="E26" s="63"/>
    </row>
    <row r="27" spans="2:5" ht="33.75" customHeight="1">
      <c r="B27" s="60">
        <v>25</v>
      </c>
      <c r="C27" s="61" t="s">
        <v>104</v>
      </c>
      <c r="D27" s="62" t="s">
        <v>105</v>
      </c>
      <c r="E27" s="63" t="s">
        <v>106</v>
      </c>
    </row>
    <row r="28" spans="2:5" ht="33.75" customHeight="1">
      <c r="B28" s="60">
        <v>26</v>
      </c>
      <c r="C28" s="61" t="s">
        <v>107</v>
      </c>
      <c r="D28" s="62" t="s">
        <v>108</v>
      </c>
      <c r="E28" s="63" t="s">
        <v>109</v>
      </c>
    </row>
    <row r="29" spans="2:5" ht="33.75" customHeight="1">
      <c r="B29" s="60">
        <v>27</v>
      </c>
      <c r="C29" s="61" t="s">
        <v>110</v>
      </c>
      <c r="D29" s="62" t="s">
        <v>111</v>
      </c>
      <c r="E29" s="63" t="s">
        <v>112</v>
      </c>
    </row>
    <row r="30" spans="2:5" ht="33.75" customHeight="1">
      <c r="B30" s="60">
        <v>28</v>
      </c>
      <c r="C30" s="61" t="s">
        <v>113</v>
      </c>
      <c r="D30" s="62" t="s">
        <v>114</v>
      </c>
      <c r="E30" s="63"/>
    </row>
    <row r="31" spans="2:5" ht="33.75" customHeight="1">
      <c r="B31" s="60">
        <v>29</v>
      </c>
      <c r="C31" s="61" t="s">
        <v>115</v>
      </c>
      <c r="D31" s="62" t="s">
        <v>116</v>
      </c>
      <c r="E31" s="63" t="s">
        <v>117</v>
      </c>
    </row>
    <row r="32" spans="2:5" ht="33.75" customHeight="1">
      <c r="B32" s="60">
        <v>30</v>
      </c>
      <c r="C32" s="61" t="s">
        <v>118</v>
      </c>
      <c r="D32" s="62" t="s">
        <v>119</v>
      </c>
      <c r="E32" s="63" t="s">
        <v>120</v>
      </c>
    </row>
    <row r="33" spans="2:5" ht="33.75" customHeight="1">
      <c r="B33" s="60">
        <v>31</v>
      </c>
      <c r="C33" s="61" t="s">
        <v>121</v>
      </c>
      <c r="D33" s="62" t="s">
        <v>122</v>
      </c>
      <c r="E33" s="63" t="s">
        <v>123</v>
      </c>
    </row>
    <row r="34" spans="2:5" ht="33.75" customHeight="1">
      <c r="B34" s="60">
        <v>32</v>
      </c>
      <c r="C34" s="61" t="s">
        <v>124</v>
      </c>
      <c r="D34" s="62" t="s">
        <v>125</v>
      </c>
      <c r="E34" s="63" t="s">
        <v>126</v>
      </c>
    </row>
    <row r="35" spans="2:5" ht="33.75" customHeight="1">
      <c r="B35" s="60">
        <v>33</v>
      </c>
      <c r="C35" s="61" t="s">
        <v>127</v>
      </c>
      <c r="D35" s="62" t="s">
        <v>128</v>
      </c>
      <c r="E35" s="63" t="s">
        <v>129</v>
      </c>
    </row>
    <row r="36" spans="2:5" ht="33.75" customHeight="1">
      <c r="B36" s="60">
        <v>34</v>
      </c>
      <c r="C36" s="61" t="s">
        <v>130</v>
      </c>
      <c r="D36" s="62" t="s">
        <v>131</v>
      </c>
      <c r="E36" s="63" t="s">
        <v>132</v>
      </c>
    </row>
    <row r="37" spans="2:5" ht="33.75" customHeight="1">
      <c r="B37" s="60">
        <v>35</v>
      </c>
      <c r="C37" s="61" t="s">
        <v>133</v>
      </c>
      <c r="D37" s="62" t="s">
        <v>134</v>
      </c>
      <c r="E37" s="63" t="s">
        <v>135</v>
      </c>
    </row>
    <row r="38" spans="2:5" ht="33.75" customHeight="1">
      <c r="B38" s="60">
        <v>36</v>
      </c>
      <c r="C38" s="61" t="s">
        <v>136</v>
      </c>
      <c r="D38" s="62" t="s">
        <v>137</v>
      </c>
      <c r="E38" s="63" t="s">
        <v>138</v>
      </c>
    </row>
    <row r="39" spans="2:5" ht="33.75" customHeight="1">
      <c r="B39" s="60">
        <v>37</v>
      </c>
      <c r="C39" s="61" t="s">
        <v>139</v>
      </c>
      <c r="D39" s="62" t="s">
        <v>140</v>
      </c>
      <c r="E39" s="63"/>
    </row>
    <row r="40" spans="2:5" ht="33.75" customHeight="1">
      <c r="B40" s="60">
        <v>38</v>
      </c>
      <c r="C40" s="61" t="s">
        <v>141</v>
      </c>
      <c r="D40" s="62" t="s">
        <v>142</v>
      </c>
      <c r="E40" s="63" t="s">
        <v>143</v>
      </c>
    </row>
    <row r="41" spans="2:5" ht="33.75" customHeight="1">
      <c r="B41" s="60">
        <v>39</v>
      </c>
      <c r="C41" s="61" t="s">
        <v>144</v>
      </c>
      <c r="D41" s="62" t="s">
        <v>145</v>
      </c>
      <c r="E41" s="63" t="s">
        <v>146</v>
      </c>
    </row>
    <row r="42" spans="2:5" ht="33.75" customHeight="1">
      <c r="B42" s="60">
        <v>40</v>
      </c>
      <c r="C42" s="61" t="s">
        <v>147</v>
      </c>
      <c r="D42" s="62" t="s">
        <v>148</v>
      </c>
      <c r="E42" s="63" t="s">
        <v>149</v>
      </c>
    </row>
    <row r="43" spans="2:5" ht="33.75" customHeight="1">
      <c r="B43" s="60">
        <v>41</v>
      </c>
      <c r="C43" s="61" t="s">
        <v>150</v>
      </c>
      <c r="D43" s="62" t="s">
        <v>151</v>
      </c>
      <c r="E43" s="63" t="s">
        <v>152</v>
      </c>
    </row>
    <row r="44" spans="2:5" ht="33.75" customHeight="1">
      <c r="B44" s="60">
        <v>42</v>
      </c>
      <c r="C44" s="61" t="s">
        <v>153</v>
      </c>
      <c r="D44" s="62" t="s">
        <v>154</v>
      </c>
      <c r="E44" s="63" t="s">
        <v>155</v>
      </c>
    </row>
    <row r="45" spans="2:5" ht="33.75" customHeight="1">
      <c r="B45" s="60">
        <v>43</v>
      </c>
      <c r="C45" s="61" t="s">
        <v>156</v>
      </c>
      <c r="D45" s="62" t="s">
        <v>157</v>
      </c>
      <c r="E45" s="63" t="s">
        <v>158</v>
      </c>
    </row>
    <row r="46" spans="2:5" ht="33.75" customHeight="1">
      <c r="B46" s="60">
        <v>44</v>
      </c>
      <c r="C46" s="61" t="s">
        <v>159</v>
      </c>
      <c r="D46" s="62" t="s">
        <v>160</v>
      </c>
      <c r="E46" s="63" t="s">
        <v>161</v>
      </c>
    </row>
    <row r="47" spans="2:5" ht="33.75" customHeight="1">
      <c r="B47" s="60">
        <v>45</v>
      </c>
      <c r="C47" s="61" t="s">
        <v>162</v>
      </c>
      <c r="D47" s="62" t="s">
        <v>163</v>
      </c>
      <c r="E47" s="63" t="s">
        <v>164</v>
      </c>
    </row>
    <row r="48" spans="2:5" ht="33.75" customHeight="1">
      <c r="B48" s="60">
        <v>46</v>
      </c>
      <c r="C48" s="61" t="s">
        <v>165</v>
      </c>
      <c r="D48" s="62" t="s">
        <v>166</v>
      </c>
      <c r="E48" s="63" t="s">
        <v>167</v>
      </c>
    </row>
    <row r="49" spans="2:5" ht="33.75" customHeight="1">
      <c r="B49" s="60">
        <v>47</v>
      </c>
      <c r="C49" s="61" t="s">
        <v>168</v>
      </c>
      <c r="D49" s="62" t="s">
        <v>169</v>
      </c>
      <c r="E49" s="63" t="s">
        <v>170</v>
      </c>
    </row>
    <row r="50" spans="2:5" ht="33.75" customHeight="1">
      <c r="B50" s="60">
        <v>48</v>
      </c>
      <c r="C50" s="61" t="s">
        <v>171</v>
      </c>
      <c r="D50" s="62" t="s">
        <v>172</v>
      </c>
      <c r="E50" s="63" t="s">
        <v>173</v>
      </c>
    </row>
    <row r="51" spans="2:5" ht="33.75" customHeight="1">
      <c r="B51" s="60">
        <v>49</v>
      </c>
      <c r="C51" s="61" t="s">
        <v>174</v>
      </c>
      <c r="D51" s="62" t="s">
        <v>175</v>
      </c>
      <c r="E51" s="63"/>
    </row>
    <row r="52" spans="2:5" ht="33.75" customHeight="1">
      <c r="B52" s="60">
        <v>50</v>
      </c>
      <c r="C52" s="61" t="s">
        <v>176</v>
      </c>
      <c r="D52" s="62" t="s">
        <v>177</v>
      </c>
      <c r="E52" s="63" t="s">
        <v>178</v>
      </c>
    </row>
    <row r="53" spans="2:5" ht="33.75" customHeight="1">
      <c r="B53" s="60">
        <v>51</v>
      </c>
      <c r="C53" s="61" t="s">
        <v>179</v>
      </c>
      <c r="D53" s="62" t="s">
        <v>180</v>
      </c>
      <c r="E53" s="63" t="s">
        <v>181</v>
      </c>
    </row>
    <row r="54" spans="2:5" ht="33.75" customHeight="1">
      <c r="B54" s="60">
        <v>52</v>
      </c>
      <c r="C54" s="61" t="s">
        <v>182</v>
      </c>
      <c r="D54" s="62" t="s">
        <v>183</v>
      </c>
      <c r="E54" s="63" t="s">
        <v>184</v>
      </c>
    </row>
    <row r="55" spans="2:5" ht="33.75" customHeight="1">
      <c r="B55" s="60">
        <v>53</v>
      </c>
      <c r="C55" s="61" t="s">
        <v>185</v>
      </c>
      <c r="D55" s="62" t="s">
        <v>186</v>
      </c>
      <c r="E55" s="63" t="s">
        <v>187</v>
      </c>
    </row>
    <row r="56" spans="2:5" ht="33.75" customHeight="1">
      <c r="B56" s="60">
        <v>54</v>
      </c>
      <c r="C56" s="61" t="s">
        <v>188</v>
      </c>
      <c r="D56" s="62" t="s">
        <v>189</v>
      </c>
      <c r="E56" s="63" t="s">
        <v>190</v>
      </c>
    </row>
    <row r="57" spans="2:5" ht="33.75" customHeight="1">
      <c r="B57" s="60">
        <v>55</v>
      </c>
      <c r="C57" s="61" t="s">
        <v>191</v>
      </c>
      <c r="D57" s="62" t="s">
        <v>192</v>
      </c>
      <c r="E57" s="63" t="s">
        <v>193</v>
      </c>
    </row>
    <row r="58" spans="2:5" ht="33.75" customHeight="1">
      <c r="B58" s="60">
        <v>56</v>
      </c>
      <c r="C58" s="61" t="s">
        <v>194</v>
      </c>
      <c r="D58" s="62" t="s">
        <v>195</v>
      </c>
      <c r="E58" s="63"/>
    </row>
    <row r="59" spans="2:5" ht="33.75" customHeight="1">
      <c r="B59" s="60">
        <v>57</v>
      </c>
      <c r="C59" s="61" t="s">
        <v>196</v>
      </c>
      <c r="D59" s="62" t="s">
        <v>197</v>
      </c>
      <c r="E59" s="63" t="s">
        <v>198</v>
      </c>
    </row>
    <row r="60" spans="2:5" ht="33.75" customHeight="1">
      <c r="B60" s="60">
        <v>58</v>
      </c>
      <c r="C60" s="61" t="s">
        <v>199</v>
      </c>
      <c r="D60" s="62" t="s">
        <v>200</v>
      </c>
      <c r="E60" s="63"/>
    </row>
    <row r="61" spans="2:5" ht="33.75" customHeight="1">
      <c r="B61" s="60">
        <v>59</v>
      </c>
      <c r="C61" s="61" t="s">
        <v>201</v>
      </c>
      <c r="D61" s="62" t="s">
        <v>202</v>
      </c>
      <c r="E61" s="63" t="s">
        <v>203</v>
      </c>
    </row>
    <row r="62" spans="2:5" ht="33.75" customHeight="1">
      <c r="B62" s="60">
        <v>60</v>
      </c>
      <c r="C62" s="61" t="s">
        <v>204</v>
      </c>
      <c r="D62" s="62" t="s">
        <v>205</v>
      </c>
      <c r="E62" s="63" t="s">
        <v>206</v>
      </c>
    </row>
    <row r="63" spans="2:5" ht="33.75" customHeight="1">
      <c r="B63" s="60">
        <v>61</v>
      </c>
      <c r="C63" s="61" t="s">
        <v>207</v>
      </c>
      <c r="D63" s="62" t="s">
        <v>208</v>
      </c>
      <c r="E63" s="63" t="s">
        <v>209</v>
      </c>
    </row>
    <row r="64" spans="2:5" ht="33.75" customHeight="1">
      <c r="B64" s="60">
        <v>62</v>
      </c>
      <c r="C64" s="61" t="s">
        <v>210</v>
      </c>
      <c r="D64" s="62" t="s">
        <v>211</v>
      </c>
      <c r="E64" s="63" t="s">
        <v>212</v>
      </c>
    </row>
    <row r="65" spans="2:5" ht="33.75" customHeight="1">
      <c r="B65" s="60">
        <v>63</v>
      </c>
      <c r="C65" s="61" t="s">
        <v>213</v>
      </c>
      <c r="D65" s="62" t="s">
        <v>214</v>
      </c>
      <c r="E65" s="63"/>
    </row>
    <row r="66" spans="2:5" ht="33.75" customHeight="1">
      <c r="B66" s="60">
        <v>64</v>
      </c>
      <c r="C66" s="61" t="s">
        <v>215</v>
      </c>
      <c r="D66" s="62" t="s">
        <v>216</v>
      </c>
      <c r="E66" s="63"/>
    </row>
    <row r="67" spans="2:5" ht="33.75" customHeight="1">
      <c r="B67" s="60">
        <v>65</v>
      </c>
      <c r="C67" s="61" t="s">
        <v>217</v>
      </c>
      <c r="D67" s="62" t="s">
        <v>218</v>
      </c>
      <c r="E67" s="63" t="s">
        <v>219</v>
      </c>
    </row>
    <row r="68" spans="2:5" ht="33.75" customHeight="1">
      <c r="B68" s="60">
        <v>66</v>
      </c>
      <c r="C68" s="61" t="s">
        <v>220</v>
      </c>
      <c r="D68" s="62" t="s">
        <v>221</v>
      </c>
      <c r="E68" s="63" t="s">
        <v>222</v>
      </c>
    </row>
    <row r="69" spans="2:5" ht="33.75" customHeight="1">
      <c r="B69" s="60">
        <v>67</v>
      </c>
      <c r="C69" s="61" t="s">
        <v>223</v>
      </c>
      <c r="D69" s="62" t="s">
        <v>224</v>
      </c>
      <c r="E69" s="63" t="s">
        <v>225</v>
      </c>
    </row>
    <row r="70" spans="2:5" ht="33.75" customHeight="1">
      <c r="B70" s="60">
        <v>68</v>
      </c>
      <c r="C70" s="61" t="s">
        <v>226</v>
      </c>
      <c r="D70" s="62" t="s">
        <v>227</v>
      </c>
      <c r="E70" s="63" t="s">
        <v>228</v>
      </c>
    </row>
    <row r="71" spans="2:5" ht="33.75" customHeight="1">
      <c r="B71" s="60">
        <v>69</v>
      </c>
      <c r="C71" s="61" t="s">
        <v>229</v>
      </c>
      <c r="D71" s="62" t="s">
        <v>230</v>
      </c>
      <c r="E71" s="63" t="s">
        <v>231</v>
      </c>
    </row>
    <row r="72" spans="2:5" ht="33.75" customHeight="1">
      <c r="B72" s="60">
        <v>70</v>
      </c>
      <c r="C72" s="61" t="s">
        <v>232</v>
      </c>
      <c r="D72" s="62" t="s">
        <v>233</v>
      </c>
      <c r="E72" s="63" t="s">
        <v>234</v>
      </c>
    </row>
    <row r="73" spans="2:5" ht="33.75" customHeight="1">
      <c r="B73" s="60">
        <v>71</v>
      </c>
      <c r="C73" s="61" t="s">
        <v>235</v>
      </c>
      <c r="D73" s="62" t="s">
        <v>236</v>
      </c>
      <c r="E73" s="63" t="s">
        <v>237</v>
      </c>
    </row>
    <row r="74" spans="2:5" ht="33.75" customHeight="1">
      <c r="B74" s="60">
        <v>72</v>
      </c>
      <c r="C74" s="61" t="s">
        <v>238</v>
      </c>
      <c r="D74" s="62" t="s">
        <v>239</v>
      </c>
      <c r="E74" s="63" t="s">
        <v>240</v>
      </c>
    </row>
    <row r="75" spans="2:5" ht="33.75" customHeight="1">
      <c r="B75" s="60">
        <v>73</v>
      </c>
      <c r="C75" s="61" t="s">
        <v>241</v>
      </c>
      <c r="D75" s="62" t="s">
        <v>242</v>
      </c>
      <c r="E75" s="63" t="s">
        <v>243</v>
      </c>
    </row>
    <row r="76" spans="2:5" ht="33.75" customHeight="1">
      <c r="B76" s="60">
        <v>74</v>
      </c>
      <c r="C76" s="61" t="s">
        <v>244</v>
      </c>
      <c r="D76" s="62" t="s">
        <v>245</v>
      </c>
      <c r="E76" s="63" t="s">
        <v>246</v>
      </c>
    </row>
    <row r="77" spans="2:5" ht="33.75" customHeight="1">
      <c r="B77" s="60">
        <v>75</v>
      </c>
      <c r="C77" s="61" t="s">
        <v>247</v>
      </c>
      <c r="D77" s="62" t="s">
        <v>248</v>
      </c>
      <c r="E77" s="63" t="s">
        <v>249</v>
      </c>
    </row>
    <row r="78" spans="2:5" ht="33.75" customHeight="1">
      <c r="B78" s="60">
        <v>76</v>
      </c>
      <c r="C78" s="61" t="s">
        <v>250</v>
      </c>
      <c r="D78" s="62" t="s">
        <v>251</v>
      </c>
      <c r="E78" s="63" t="s">
        <v>252</v>
      </c>
    </row>
    <row r="79" spans="2:5" ht="33.75" customHeight="1">
      <c r="B79" s="60">
        <v>77</v>
      </c>
      <c r="C79" s="61" t="s">
        <v>253</v>
      </c>
      <c r="D79" s="62" t="s">
        <v>254</v>
      </c>
      <c r="E79" s="63" t="s">
        <v>255</v>
      </c>
    </row>
    <row r="80" spans="2:5" ht="33.75" customHeight="1">
      <c r="B80" s="60">
        <v>78</v>
      </c>
      <c r="C80" s="61" t="s">
        <v>256</v>
      </c>
      <c r="D80" s="62" t="s">
        <v>257</v>
      </c>
      <c r="E80" s="63" t="s">
        <v>258</v>
      </c>
    </row>
    <row r="81" spans="2:5" ht="33.75" customHeight="1">
      <c r="B81" s="60">
        <v>79</v>
      </c>
      <c r="C81" s="61" t="s">
        <v>259</v>
      </c>
      <c r="D81" s="62" t="s">
        <v>260</v>
      </c>
      <c r="E81" s="63"/>
    </row>
    <row r="82" spans="2:5" ht="33.75" customHeight="1">
      <c r="B82" s="60">
        <v>80</v>
      </c>
      <c r="C82" s="61" t="s">
        <v>261</v>
      </c>
      <c r="D82" s="62" t="s">
        <v>262</v>
      </c>
      <c r="E82" s="63" t="s">
        <v>263</v>
      </c>
    </row>
    <row r="83" spans="2:5" ht="33.75" customHeight="1">
      <c r="B83" s="60">
        <v>81</v>
      </c>
      <c r="C83" s="61" t="s">
        <v>264</v>
      </c>
      <c r="D83" s="62" t="s">
        <v>265</v>
      </c>
      <c r="E83" s="63" t="s">
        <v>266</v>
      </c>
    </row>
    <row r="84" spans="2:5" ht="33.75" customHeight="1">
      <c r="B84" s="60">
        <v>82</v>
      </c>
      <c r="C84" s="61" t="s">
        <v>267</v>
      </c>
      <c r="D84" s="62" t="s">
        <v>268</v>
      </c>
      <c r="E84" s="63"/>
    </row>
    <row r="85" spans="2:5" ht="33.75" customHeight="1">
      <c r="B85" s="60">
        <v>83</v>
      </c>
      <c r="C85" s="61" t="s">
        <v>269</v>
      </c>
      <c r="D85" s="62" t="s">
        <v>270</v>
      </c>
      <c r="E85" s="63"/>
    </row>
    <row r="86" spans="2:5" ht="33.75" customHeight="1">
      <c r="B86" s="60">
        <v>84</v>
      </c>
      <c r="C86" s="61" t="s">
        <v>271</v>
      </c>
      <c r="D86" s="62" t="s">
        <v>272</v>
      </c>
      <c r="E86" s="63" t="s">
        <v>273</v>
      </c>
    </row>
    <row r="87" spans="2:5" ht="33.75" customHeight="1">
      <c r="B87" s="60">
        <v>85</v>
      </c>
      <c r="C87" s="61" t="s">
        <v>274</v>
      </c>
      <c r="D87" s="62" t="s">
        <v>275</v>
      </c>
      <c r="E87" s="63" t="s">
        <v>276</v>
      </c>
    </row>
    <row r="88" spans="2:5" ht="33.75" customHeight="1">
      <c r="B88" s="60">
        <v>86</v>
      </c>
      <c r="C88" s="61" t="s">
        <v>277</v>
      </c>
      <c r="D88" s="62" t="s">
        <v>278</v>
      </c>
      <c r="E88" s="63" t="s">
        <v>279</v>
      </c>
    </row>
    <row r="89" spans="2:5" ht="33.75" customHeight="1">
      <c r="B89" s="60">
        <v>87</v>
      </c>
      <c r="C89" s="61" t="s">
        <v>280</v>
      </c>
      <c r="D89" s="62" t="s">
        <v>281</v>
      </c>
      <c r="E89" s="63" t="s">
        <v>282</v>
      </c>
    </row>
    <row r="90" spans="2:5" ht="33.75" customHeight="1">
      <c r="B90" s="60">
        <v>88</v>
      </c>
      <c r="C90" s="61" t="s">
        <v>283</v>
      </c>
      <c r="D90" s="62" t="s">
        <v>284</v>
      </c>
      <c r="E90" s="63" t="s">
        <v>285</v>
      </c>
    </row>
    <row r="91" spans="2:5" ht="33.75" customHeight="1">
      <c r="B91" s="60">
        <v>89</v>
      </c>
      <c r="C91" s="61" t="s">
        <v>286</v>
      </c>
      <c r="D91" s="62" t="s">
        <v>287</v>
      </c>
      <c r="E91" s="63" t="s">
        <v>288</v>
      </c>
    </row>
    <row r="92" spans="2:5" ht="33.75" customHeight="1">
      <c r="B92" s="60">
        <v>90</v>
      </c>
      <c r="C92" s="61" t="s">
        <v>289</v>
      </c>
      <c r="D92" s="62" t="s">
        <v>290</v>
      </c>
      <c r="E92" s="63" t="s">
        <v>291</v>
      </c>
    </row>
    <row r="93" spans="2:5" ht="33.75" customHeight="1">
      <c r="B93" s="60">
        <v>91</v>
      </c>
      <c r="C93" s="61" t="s">
        <v>292</v>
      </c>
      <c r="D93" s="62" t="s">
        <v>293</v>
      </c>
      <c r="E93" s="63" t="s">
        <v>294</v>
      </c>
    </row>
    <row r="94" spans="2:5" ht="33.75" customHeight="1">
      <c r="B94" s="60">
        <v>92</v>
      </c>
      <c r="C94" s="61" t="s">
        <v>295</v>
      </c>
      <c r="D94" s="62" t="s">
        <v>296</v>
      </c>
      <c r="E94" s="63" t="s">
        <v>49</v>
      </c>
    </row>
    <row r="95" spans="2:5" ht="33.75" customHeight="1">
      <c r="B95" s="60">
        <v>93</v>
      </c>
      <c r="C95" s="61" t="s">
        <v>297</v>
      </c>
      <c r="D95" s="62" t="s">
        <v>298</v>
      </c>
      <c r="E95" s="63" t="s">
        <v>52</v>
      </c>
    </row>
    <row r="96" spans="2:5" ht="33.75" customHeight="1">
      <c r="B96" s="60">
        <v>94</v>
      </c>
      <c r="C96" s="61" t="s">
        <v>299</v>
      </c>
      <c r="D96" s="62" t="s">
        <v>300</v>
      </c>
      <c r="E96" s="63" t="s">
        <v>301</v>
      </c>
    </row>
    <row r="97" spans="2:5" ht="33.75" customHeight="1">
      <c r="B97" s="60">
        <v>95</v>
      </c>
      <c r="C97" s="61" t="s">
        <v>302</v>
      </c>
      <c r="D97" s="62" t="s">
        <v>303</v>
      </c>
      <c r="E97" s="63" t="s">
        <v>58</v>
      </c>
    </row>
    <row r="98" spans="2:5" ht="33.75" customHeight="1">
      <c r="B98" s="60">
        <v>96</v>
      </c>
      <c r="C98" s="61" t="s">
        <v>304</v>
      </c>
      <c r="D98" s="62" t="s">
        <v>305</v>
      </c>
      <c r="E98" s="63" t="s">
        <v>306</v>
      </c>
    </row>
    <row r="99" spans="2:5" ht="33.75" customHeight="1">
      <c r="B99" s="60">
        <v>97</v>
      </c>
      <c r="C99" s="61" t="s">
        <v>307</v>
      </c>
      <c r="D99" s="62" t="s">
        <v>308</v>
      </c>
      <c r="E99" s="63" t="s">
        <v>309</v>
      </c>
    </row>
    <row r="100" spans="2:5" ht="33.75" customHeight="1">
      <c r="B100" s="60">
        <v>98</v>
      </c>
      <c r="C100" s="61" t="s">
        <v>310</v>
      </c>
      <c r="D100" s="62" t="s">
        <v>311</v>
      </c>
      <c r="E100" s="63" t="s">
        <v>67</v>
      </c>
    </row>
    <row r="101" spans="2:5" ht="33.75" customHeight="1">
      <c r="B101" s="60">
        <v>99</v>
      </c>
      <c r="C101" s="61" t="s">
        <v>312</v>
      </c>
      <c r="D101" s="62" t="s">
        <v>313</v>
      </c>
      <c r="E101" s="63" t="s">
        <v>67</v>
      </c>
    </row>
    <row r="102" spans="2:5" ht="33.75" customHeight="1">
      <c r="B102" s="60">
        <v>100</v>
      </c>
      <c r="C102" s="61" t="s">
        <v>314</v>
      </c>
      <c r="D102" s="62" t="s">
        <v>315</v>
      </c>
      <c r="E102" s="63" t="s">
        <v>316</v>
      </c>
    </row>
    <row r="103" spans="2:5" ht="33.75" customHeight="1">
      <c r="B103" s="60">
        <v>101</v>
      </c>
      <c r="C103" s="61" t="s">
        <v>317</v>
      </c>
      <c r="D103" s="62" t="s">
        <v>318</v>
      </c>
      <c r="E103" s="63" t="s">
        <v>319</v>
      </c>
    </row>
    <row r="104" spans="2:5" ht="33.75" customHeight="1">
      <c r="B104" s="60">
        <v>102</v>
      </c>
      <c r="C104" s="61" t="s">
        <v>320</v>
      </c>
      <c r="D104" s="62" t="s">
        <v>321</v>
      </c>
      <c r="E104" s="63" t="s">
        <v>322</v>
      </c>
    </row>
    <row r="105" spans="2:5" ht="33.75" customHeight="1">
      <c r="B105" s="60">
        <v>103</v>
      </c>
      <c r="C105" s="61" t="s">
        <v>323</v>
      </c>
      <c r="D105" s="62" t="s">
        <v>324</v>
      </c>
      <c r="E105" s="63" t="s">
        <v>325</v>
      </c>
    </row>
    <row r="106" spans="2:5" ht="33.75" customHeight="1">
      <c r="B106" s="60">
        <v>104</v>
      </c>
      <c r="C106" s="61" t="s">
        <v>326</v>
      </c>
      <c r="D106" s="62" t="s">
        <v>327</v>
      </c>
      <c r="E106" s="63"/>
    </row>
    <row r="107" spans="2:5" ht="33.75" customHeight="1">
      <c r="B107" s="60">
        <v>105</v>
      </c>
      <c r="C107" s="61" t="s">
        <v>328</v>
      </c>
      <c r="D107" s="62" t="s">
        <v>329</v>
      </c>
      <c r="E107" s="63" t="s">
        <v>330</v>
      </c>
    </row>
    <row r="108" spans="2:5" ht="33.75" customHeight="1">
      <c r="B108" s="60">
        <v>106</v>
      </c>
      <c r="C108" s="61" t="s">
        <v>331</v>
      </c>
      <c r="D108" s="62" t="s">
        <v>332</v>
      </c>
      <c r="E108" s="63" t="s">
        <v>333</v>
      </c>
    </row>
    <row r="109" spans="2:5" ht="33.75" customHeight="1">
      <c r="B109" s="60">
        <v>107</v>
      </c>
      <c r="C109" s="61" t="s">
        <v>334</v>
      </c>
      <c r="D109" s="62" t="s">
        <v>335</v>
      </c>
      <c r="E109" s="63" t="s">
        <v>336</v>
      </c>
    </row>
    <row r="110" spans="2:5" ht="33.75" customHeight="1">
      <c r="B110" s="60">
        <v>108</v>
      </c>
      <c r="C110" s="61" t="s">
        <v>337</v>
      </c>
      <c r="D110" s="62" t="s">
        <v>338</v>
      </c>
      <c r="E110" s="63" t="s">
        <v>339</v>
      </c>
    </row>
    <row r="111" spans="2:5" ht="33.75" customHeight="1">
      <c r="B111" s="60">
        <v>109</v>
      </c>
      <c r="C111" s="61" t="s">
        <v>340</v>
      </c>
      <c r="D111" s="62" t="s">
        <v>341</v>
      </c>
      <c r="E111" s="63" t="s">
        <v>342</v>
      </c>
    </row>
    <row r="112" spans="2:5" ht="33.75" customHeight="1">
      <c r="B112" s="60">
        <v>110</v>
      </c>
      <c r="C112" s="61" t="s">
        <v>343</v>
      </c>
      <c r="D112" s="62" t="s">
        <v>344</v>
      </c>
      <c r="E112" s="63"/>
    </row>
    <row r="113" spans="2:5" ht="33.75" customHeight="1">
      <c r="B113" s="60">
        <v>111</v>
      </c>
      <c r="C113" s="61" t="s">
        <v>345</v>
      </c>
      <c r="D113" s="62" t="s">
        <v>346</v>
      </c>
      <c r="E113" s="63" t="s">
        <v>347</v>
      </c>
    </row>
    <row r="114" spans="2:5" ht="33.75" customHeight="1">
      <c r="B114" s="60">
        <v>112</v>
      </c>
      <c r="C114" s="61" t="s">
        <v>348</v>
      </c>
      <c r="D114" s="62" t="s">
        <v>349</v>
      </c>
      <c r="E114" s="63" t="s">
        <v>350</v>
      </c>
    </row>
    <row r="115" spans="2:5" ht="33.75" customHeight="1">
      <c r="B115" s="60">
        <v>113</v>
      </c>
      <c r="C115" s="61" t="s">
        <v>351</v>
      </c>
      <c r="D115" s="62" t="s">
        <v>352</v>
      </c>
      <c r="E115" s="63" t="s">
        <v>109</v>
      </c>
    </row>
    <row r="116" spans="2:5" ht="33.75" customHeight="1">
      <c r="B116" s="60">
        <v>114</v>
      </c>
      <c r="C116" s="61" t="s">
        <v>353</v>
      </c>
      <c r="D116" s="62" t="s">
        <v>354</v>
      </c>
      <c r="E116" s="63" t="s">
        <v>355</v>
      </c>
    </row>
    <row r="117" spans="2:5" ht="33.75" customHeight="1">
      <c r="B117" s="60">
        <v>115</v>
      </c>
      <c r="C117" s="61" t="s">
        <v>356</v>
      </c>
      <c r="D117" s="62" t="s">
        <v>357</v>
      </c>
      <c r="E117" s="63"/>
    </row>
    <row r="118" spans="2:5" ht="33.75" customHeight="1">
      <c r="B118" s="60">
        <v>116</v>
      </c>
      <c r="C118" s="61" t="s">
        <v>358</v>
      </c>
      <c r="D118" s="62" t="s">
        <v>359</v>
      </c>
      <c r="E118" s="63" t="s">
        <v>117</v>
      </c>
    </row>
    <row r="119" spans="2:5" ht="33.75" customHeight="1">
      <c r="B119" s="60">
        <v>117</v>
      </c>
      <c r="C119" s="61" t="s">
        <v>360</v>
      </c>
      <c r="D119" s="62" t="s">
        <v>361</v>
      </c>
      <c r="E119" s="63" t="s">
        <v>362</v>
      </c>
    </row>
    <row r="120" spans="2:5" ht="33.75" customHeight="1">
      <c r="B120" s="60">
        <v>118</v>
      </c>
      <c r="C120" s="61" t="s">
        <v>363</v>
      </c>
      <c r="D120" s="62" t="s">
        <v>364</v>
      </c>
      <c r="E120" s="63" t="s">
        <v>365</v>
      </c>
    </row>
    <row r="121" spans="2:5" ht="33.75" customHeight="1">
      <c r="B121" s="60">
        <v>119</v>
      </c>
      <c r="C121" s="61" t="s">
        <v>366</v>
      </c>
      <c r="D121" s="62" t="s">
        <v>367</v>
      </c>
      <c r="E121" s="63" t="s">
        <v>368</v>
      </c>
    </row>
    <row r="122" spans="2:5" ht="33.75" customHeight="1">
      <c r="B122" s="60">
        <v>120</v>
      </c>
      <c r="C122" s="61" t="s">
        <v>369</v>
      </c>
      <c r="D122" s="62" t="s">
        <v>370</v>
      </c>
      <c r="E122" s="63" t="s">
        <v>129</v>
      </c>
    </row>
    <row r="123" spans="2:5" ht="33.75" customHeight="1">
      <c r="B123" s="60">
        <v>121</v>
      </c>
      <c r="C123" s="61" t="s">
        <v>371</v>
      </c>
      <c r="D123" s="62" t="s">
        <v>372</v>
      </c>
      <c r="E123" s="63" t="s">
        <v>373</v>
      </c>
    </row>
    <row r="124" spans="2:5" ht="33.75" customHeight="1">
      <c r="B124" s="60">
        <v>122</v>
      </c>
      <c r="C124" s="61" t="s">
        <v>374</v>
      </c>
      <c r="D124" s="62" t="s">
        <v>375</v>
      </c>
      <c r="E124" s="63" t="s">
        <v>376</v>
      </c>
    </row>
    <row r="125" spans="2:5" ht="33.75" customHeight="1">
      <c r="B125" s="60">
        <v>123</v>
      </c>
      <c r="C125" s="61" t="s">
        <v>377</v>
      </c>
      <c r="D125" s="62" t="s">
        <v>378</v>
      </c>
      <c r="E125" s="63"/>
    </row>
    <row r="126" spans="2:5" ht="33.75" customHeight="1">
      <c r="B126" s="60">
        <v>124</v>
      </c>
      <c r="C126" s="61" t="s">
        <v>379</v>
      </c>
      <c r="D126" s="62" t="s">
        <v>380</v>
      </c>
      <c r="E126" s="63"/>
    </row>
    <row r="127" spans="2:5" ht="33.75" customHeight="1">
      <c r="B127" s="60">
        <v>125</v>
      </c>
      <c r="C127" s="61" t="s">
        <v>381</v>
      </c>
      <c r="D127" s="62" t="s">
        <v>382</v>
      </c>
      <c r="E127" s="63" t="s">
        <v>383</v>
      </c>
    </row>
    <row r="128" spans="2:5" ht="33.75" customHeight="1">
      <c r="B128" s="60">
        <v>126</v>
      </c>
      <c r="C128" s="61" t="s">
        <v>384</v>
      </c>
      <c r="D128" s="62" t="s">
        <v>385</v>
      </c>
      <c r="E128" s="63" t="s">
        <v>146</v>
      </c>
    </row>
    <row r="129" spans="2:5" ht="33.75" customHeight="1">
      <c r="B129" s="60">
        <v>127</v>
      </c>
      <c r="C129" s="61" t="s">
        <v>386</v>
      </c>
      <c r="D129" s="62" t="s">
        <v>387</v>
      </c>
      <c r="E129" s="63" t="s">
        <v>388</v>
      </c>
    </row>
    <row r="130" spans="2:5" ht="33.75" customHeight="1">
      <c r="B130" s="60">
        <v>128</v>
      </c>
      <c r="C130" s="61" t="s">
        <v>389</v>
      </c>
      <c r="D130" s="62" t="s">
        <v>390</v>
      </c>
      <c r="E130" s="63" t="s">
        <v>391</v>
      </c>
    </row>
    <row r="131" spans="2:5" ht="33.75" customHeight="1">
      <c r="B131" s="60">
        <v>129</v>
      </c>
      <c r="C131" s="61" t="s">
        <v>392</v>
      </c>
      <c r="D131" s="62" t="s">
        <v>393</v>
      </c>
      <c r="E131" s="63" t="s">
        <v>394</v>
      </c>
    </row>
    <row r="132" spans="2:5" ht="33.75" customHeight="1">
      <c r="B132" s="60">
        <v>130</v>
      </c>
      <c r="C132" s="61" t="s">
        <v>395</v>
      </c>
      <c r="D132" s="62" t="s">
        <v>396</v>
      </c>
      <c r="E132" s="63" t="s">
        <v>158</v>
      </c>
    </row>
    <row r="133" spans="2:5" ht="33.75" customHeight="1">
      <c r="B133" s="60">
        <v>131</v>
      </c>
      <c r="C133" s="61" t="s">
        <v>397</v>
      </c>
      <c r="D133" s="62" t="s">
        <v>398</v>
      </c>
      <c r="E133" s="63" t="s">
        <v>161</v>
      </c>
    </row>
    <row r="134" spans="2:5" ht="33.75" customHeight="1">
      <c r="B134" s="60">
        <v>132</v>
      </c>
      <c r="C134" s="61" t="s">
        <v>399</v>
      </c>
      <c r="D134" s="62" t="s">
        <v>400</v>
      </c>
      <c r="E134" s="63"/>
    </row>
    <row r="135" spans="2:5" ht="33.75" customHeight="1">
      <c r="B135" s="60">
        <v>133</v>
      </c>
      <c r="C135" s="61" t="s">
        <v>401</v>
      </c>
      <c r="D135" s="62" t="s">
        <v>402</v>
      </c>
      <c r="E135" s="63" t="s">
        <v>403</v>
      </c>
    </row>
    <row r="136" spans="2:5" ht="33.75" customHeight="1">
      <c r="B136" s="60">
        <v>134</v>
      </c>
      <c r="C136" s="61" t="s">
        <v>404</v>
      </c>
      <c r="D136" s="62" t="s">
        <v>405</v>
      </c>
      <c r="E136" s="63" t="s">
        <v>170</v>
      </c>
    </row>
    <row r="137" spans="2:5" ht="33.75" customHeight="1">
      <c r="B137" s="60">
        <v>135</v>
      </c>
      <c r="C137" s="61" t="s">
        <v>406</v>
      </c>
      <c r="D137" s="62" t="s">
        <v>407</v>
      </c>
      <c r="E137" s="63" t="s">
        <v>173</v>
      </c>
    </row>
    <row r="138" spans="2:5" ht="33.75" customHeight="1">
      <c r="B138" s="60">
        <v>136</v>
      </c>
      <c r="C138" s="61" t="s">
        <v>408</v>
      </c>
      <c r="D138" s="62" t="s">
        <v>409</v>
      </c>
      <c r="E138" s="63"/>
    </row>
    <row r="139" spans="2:5" ht="33.75" customHeight="1">
      <c r="B139" s="60">
        <v>137</v>
      </c>
      <c r="C139" s="61" t="s">
        <v>410</v>
      </c>
      <c r="D139" s="62" t="s">
        <v>411</v>
      </c>
      <c r="E139" s="63"/>
    </row>
    <row r="140" spans="2:5" ht="33.75" customHeight="1">
      <c r="B140" s="60">
        <v>138</v>
      </c>
      <c r="C140" s="61" t="s">
        <v>412</v>
      </c>
      <c r="D140" s="62" t="s">
        <v>413</v>
      </c>
      <c r="E140" s="63" t="s">
        <v>181</v>
      </c>
    </row>
    <row r="141" spans="2:5" ht="33.75" customHeight="1">
      <c r="B141" s="60">
        <v>139</v>
      </c>
      <c r="C141" s="61" t="s">
        <v>414</v>
      </c>
      <c r="D141" s="62" t="s">
        <v>415</v>
      </c>
      <c r="E141" s="63" t="s">
        <v>416</v>
      </c>
    </row>
    <row r="142" spans="2:5" ht="33.75" customHeight="1">
      <c r="B142" s="60">
        <v>140</v>
      </c>
      <c r="C142" s="61" t="s">
        <v>417</v>
      </c>
      <c r="D142" s="62" t="s">
        <v>418</v>
      </c>
      <c r="E142" s="63"/>
    </row>
    <row r="143" spans="2:5" ht="33.75" customHeight="1">
      <c r="B143" s="60">
        <v>141</v>
      </c>
      <c r="C143" s="61" t="s">
        <v>419</v>
      </c>
      <c r="D143" s="62" t="s">
        <v>420</v>
      </c>
      <c r="E143" s="63" t="s">
        <v>421</v>
      </c>
    </row>
    <row r="144" spans="2:5" ht="33.75" customHeight="1">
      <c r="B144" s="60">
        <v>142</v>
      </c>
      <c r="C144" s="61" t="s">
        <v>422</v>
      </c>
      <c r="D144" s="62" t="s">
        <v>423</v>
      </c>
      <c r="E144" s="63" t="s">
        <v>424</v>
      </c>
    </row>
    <row r="145" spans="2:5" ht="33.75" customHeight="1">
      <c r="B145" s="60">
        <v>143</v>
      </c>
      <c r="C145" s="61" t="s">
        <v>425</v>
      </c>
      <c r="D145" s="62" t="s">
        <v>426</v>
      </c>
      <c r="E145" s="63"/>
    </row>
    <row r="146" spans="2:5" ht="33.75" customHeight="1">
      <c r="B146" s="60">
        <v>144</v>
      </c>
      <c r="C146" s="61" t="s">
        <v>427</v>
      </c>
      <c r="D146" s="62" t="s">
        <v>428</v>
      </c>
      <c r="E146" s="63" t="s">
        <v>429</v>
      </c>
    </row>
    <row r="147" spans="2:5" ht="33.75" customHeight="1">
      <c r="B147" s="60">
        <v>145</v>
      </c>
      <c r="C147" s="61" t="s">
        <v>430</v>
      </c>
      <c r="D147" s="62" t="s">
        <v>431</v>
      </c>
      <c r="E147" s="63"/>
    </row>
    <row r="148" spans="2:5" ht="33.75" customHeight="1">
      <c r="B148" s="60">
        <v>146</v>
      </c>
      <c r="C148" s="61" t="s">
        <v>432</v>
      </c>
      <c r="D148" s="62" t="s">
        <v>433</v>
      </c>
      <c r="E148" s="63" t="s">
        <v>203</v>
      </c>
    </row>
    <row r="149" spans="2:5" ht="33.75" customHeight="1">
      <c r="B149" s="60">
        <v>147</v>
      </c>
      <c r="C149" s="61" t="s">
        <v>434</v>
      </c>
      <c r="D149" s="62" t="s">
        <v>435</v>
      </c>
      <c r="E149" s="63" t="s">
        <v>206</v>
      </c>
    </row>
    <row r="150" spans="2:5" ht="33.75" customHeight="1">
      <c r="B150" s="60">
        <v>148</v>
      </c>
      <c r="C150" s="61" t="s">
        <v>436</v>
      </c>
      <c r="D150" s="62" t="s">
        <v>437</v>
      </c>
      <c r="E150" s="63" t="s">
        <v>438</v>
      </c>
    </row>
    <row r="151" spans="2:5" ht="33.75" customHeight="1">
      <c r="B151" s="60">
        <v>149</v>
      </c>
      <c r="C151" s="61" t="s">
        <v>439</v>
      </c>
      <c r="D151" s="62" t="s">
        <v>440</v>
      </c>
      <c r="E151" s="63"/>
    </row>
    <row r="152" spans="2:5" ht="33.75" customHeight="1">
      <c r="B152" s="60">
        <v>150</v>
      </c>
      <c r="C152" s="61" t="s">
        <v>441</v>
      </c>
      <c r="D152" s="62" t="s">
        <v>442</v>
      </c>
      <c r="E152" s="63"/>
    </row>
    <row r="153" spans="2:5" ht="33.75" customHeight="1">
      <c r="B153" s="60">
        <v>151</v>
      </c>
      <c r="C153" s="61" t="s">
        <v>443</v>
      </c>
      <c r="D153" s="62" t="s">
        <v>444</v>
      </c>
      <c r="E153" s="63" t="s">
        <v>445</v>
      </c>
    </row>
    <row r="154" spans="2:5" ht="33.75" customHeight="1">
      <c r="B154" s="60">
        <v>152</v>
      </c>
      <c r="C154" s="61" t="s">
        <v>446</v>
      </c>
      <c r="D154" s="62" t="s">
        <v>447</v>
      </c>
      <c r="E154" s="63"/>
    </row>
    <row r="155" spans="2:5" ht="33.75" customHeight="1">
      <c r="B155" s="60">
        <v>153</v>
      </c>
      <c r="C155" s="61" t="s">
        <v>448</v>
      </c>
      <c r="D155" s="62" t="s">
        <v>449</v>
      </c>
      <c r="E155" s="63" t="s">
        <v>450</v>
      </c>
    </row>
    <row r="156" spans="2:5" ht="33.75" customHeight="1">
      <c r="B156" s="60">
        <v>154</v>
      </c>
      <c r="C156" s="61" t="s">
        <v>451</v>
      </c>
      <c r="D156" s="62" t="s">
        <v>452</v>
      </c>
      <c r="E156" s="63" t="s">
        <v>453</v>
      </c>
    </row>
    <row r="157" spans="2:5" ht="33.75" customHeight="1">
      <c r="B157" s="60">
        <v>155</v>
      </c>
      <c r="C157" s="61" t="s">
        <v>454</v>
      </c>
      <c r="D157" s="62" t="s">
        <v>455</v>
      </c>
      <c r="E157" s="63"/>
    </row>
    <row r="158" spans="2:5" ht="33.75" customHeight="1">
      <c r="B158" s="60">
        <v>156</v>
      </c>
      <c r="C158" s="61" t="s">
        <v>456</v>
      </c>
      <c r="D158" s="62" t="s">
        <v>457</v>
      </c>
      <c r="E158" s="63" t="s">
        <v>458</v>
      </c>
    </row>
    <row r="159" spans="2:5" ht="33.75" customHeight="1">
      <c r="B159" s="60">
        <v>157</v>
      </c>
      <c r="C159" s="61" t="s">
        <v>459</v>
      </c>
      <c r="D159" s="62" t="s">
        <v>460</v>
      </c>
      <c r="E159" s="63" t="s">
        <v>461</v>
      </c>
    </row>
    <row r="160" spans="2:5" ht="33.75" customHeight="1">
      <c r="B160" s="60">
        <v>158</v>
      </c>
      <c r="C160" s="61" t="s">
        <v>462</v>
      </c>
      <c r="D160" s="62" t="s">
        <v>463</v>
      </c>
      <c r="E160" s="63"/>
    </row>
    <row r="161" spans="2:5" ht="33.75" customHeight="1">
      <c r="B161" s="60">
        <v>159</v>
      </c>
      <c r="C161" s="61" t="s">
        <v>464</v>
      </c>
      <c r="D161" s="62" t="s">
        <v>465</v>
      </c>
      <c r="E161" s="63"/>
    </row>
    <row r="162" spans="2:5" ht="33.75" customHeight="1">
      <c r="B162" s="60">
        <v>160</v>
      </c>
      <c r="C162" s="61" t="s">
        <v>466</v>
      </c>
      <c r="D162" s="62" t="s">
        <v>467</v>
      </c>
      <c r="E162" s="63"/>
    </row>
    <row r="163" spans="2:5" ht="33.75" customHeight="1">
      <c r="B163" s="60">
        <v>161</v>
      </c>
      <c r="C163" s="61" t="s">
        <v>468</v>
      </c>
      <c r="D163" s="62" t="s">
        <v>469</v>
      </c>
      <c r="E163" s="63"/>
    </row>
    <row r="164" spans="2:5" ht="33.75" customHeight="1">
      <c r="B164" s="60">
        <v>162</v>
      </c>
      <c r="C164" s="61" t="s">
        <v>470</v>
      </c>
      <c r="D164" s="62" t="s">
        <v>471</v>
      </c>
      <c r="E164" s="63" t="s">
        <v>472</v>
      </c>
    </row>
    <row r="165" spans="2:5" ht="33.75" customHeight="1">
      <c r="B165" s="60">
        <v>163</v>
      </c>
      <c r="C165" s="61" t="s">
        <v>473</v>
      </c>
      <c r="D165" s="62" t="s">
        <v>474</v>
      </c>
      <c r="E165" s="63" t="s">
        <v>475</v>
      </c>
    </row>
    <row r="166" spans="2:5" ht="33.75" customHeight="1">
      <c r="B166" s="60">
        <v>164</v>
      </c>
      <c r="C166" s="61" t="s">
        <v>476</v>
      </c>
      <c r="D166" s="62" t="s">
        <v>477</v>
      </c>
      <c r="E166" s="63" t="s">
        <v>478</v>
      </c>
    </row>
    <row r="167" spans="2:5" ht="33.75" customHeight="1">
      <c r="B167" s="60">
        <v>165</v>
      </c>
      <c r="C167" s="61" t="s">
        <v>479</v>
      </c>
      <c r="D167" s="62" t="s">
        <v>480</v>
      </c>
      <c r="E167" s="63" t="s">
        <v>481</v>
      </c>
    </row>
    <row r="168" spans="2:5" ht="33.75" customHeight="1">
      <c r="B168" s="60">
        <v>166</v>
      </c>
      <c r="C168" s="61" t="s">
        <v>482</v>
      </c>
      <c r="D168" s="62" t="s">
        <v>483</v>
      </c>
      <c r="E168" s="64" t="s">
        <v>484</v>
      </c>
    </row>
    <row r="169" spans="2:5" ht="33.75" customHeight="1">
      <c r="B169" s="60">
        <v>167</v>
      </c>
      <c r="C169" s="61" t="s">
        <v>485</v>
      </c>
      <c r="D169" s="62" t="s">
        <v>486</v>
      </c>
      <c r="E169" s="63" t="s">
        <v>487</v>
      </c>
    </row>
    <row r="170" spans="2:5" ht="33.75" customHeight="1">
      <c r="B170" s="60">
        <v>168</v>
      </c>
      <c r="C170" s="61" t="s">
        <v>488</v>
      </c>
      <c r="D170" s="62" t="s">
        <v>489</v>
      </c>
      <c r="E170" s="63"/>
    </row>
    <row r="171" spans="2:5" ht="33.75" customHeight="1">
      <c r="B171" s="60">
        <v>169</v>
      </c>
      <c r="C171" s="61" t="s">
        <v>490</v>
      </c>
      <c r="D171" s="62" t="s">
        <v>491</v>
      </c>
      <c r="E171" s="63" t="s">
        <v>492</v>
      </c>
    </row>
    <row r="172" spans="2:5" ht="33.75" customHeight="1">
      <c r="B172" s="60">
        <v>170</v>
      </c>
      <c r="C172" s="61" t="s">
        <v>493</v>
      </c>
      <c r="D172" s="62" t="s">
        <v>494</v>
      </c>
      <c r="E172" s="63" t="s">
        <v>495</v>
      </c>
    </row>
    <row r="173" spans="2:5" ht="33.75" customHeight="1">
      <c r="B173" s="60">
        <v>171</v>
      </c>
      <c r="C173" s="61" t="s">
        <v>496</v>
      </c>
      <c r="D173" s="62" t="s">
        <v>497</v>
      </c>
      <c r="E173" s="63"/>
    </row>
    <row r="174" spans="2:5" ht="33.75" customHeight="1">
      <c r="B174" s="60">
        <v>172</v>
      </c>
      <c r="C174" s="61" t="s">
        <v>498</v>
      </c>
      <c r="D174" s="62" t="s">
        <v>499</v>
      </c>
      <c r="E174" s="63"/>
    </row>
    <row r="175" spans="2:5" ht="33.75" customHeight="1">
      <c r="B175" s="60">
        <v>173</v>
      </c>
      <c r="C175" s="61" t="s">
        <v>500</v>
      </c>
      <c r="D175" s="62" t="s">
        <v>501</v>
      </c>
      <c r="E175" s="63" t="s">
        <v>502</v>
      </c>
    </row>
    <row r="176" spans="2:5" ht="33.75" customHeight="1">
      <c r="B176" s="60">
        <v>174</v>
      </c>
      <c r="C176" s="61" t="s">
        <v>503</v>
      </c>
      <c r="D176" s="62" t="s">
        <v>504</v>
      </c>
      <c r="E176" s="63" t="s">
        <v>505</v>
      </c>
    </row>
    <row r="177" spans="2:5" ht="33.75" customHeight="1">
      <c r="B177" s="60">
        <v>175</v>
      </c>
      <c r="C177" s="61" t="s">
        <v>506</v>
      </c>
      <c r="D177" s="62" t="s">
        <v>507</v>
      </c>
      <c r="E177" s="63"/>
    </row>
    <row r="178" spans="2:5" ht="33.75" customHeight="1">
      <c r="B178" s="60">
        <v>176</v>
      </c>
      <c r="C178" s="61" t="s">
        <v>508</v>
      </c>
      <c r="D178" s="62" t="s">
        <v>509</v>
      </c>
      <c r="E178" s="63"/>
    </row>
    <row r="179" spans="2:5" ht="33.75" customHeight="1">
      <c r="B179" s="60">
        <v>177</v>
      </c>
      <c r="C179" s="61" t="s">
        <v>510</v>
      </c>
      <c r="D179" s="62" t="s">
        <v>511</v>
      </c>
      <c r="E179" s="63" t="s">
        <v>512</v>
      </c>
    </row>
    <row r="180" spans="2:5" ht="33.75" customHeight="1">
      <c r="B180" s="60">
        <v>178</v>
      </c>
      <c r="C180" s="61" t="s">
        <v>513</v>
      </c>
      <c r="D180" s="62" t="s">
        <v>514</v>
      </c>
      <c r="E180" s="63" t="s">
        <v>515</v>
      </c>
    </row>
    <row r="181" spans="2:5" ht="33.75" customHeight="1">
      <c r="B181" s="60">
        <v>179</v>
      </c>
      <c r="C181" s="61" t="s">
        <v>516</v>
      </c>
      <c r="D181" s="62" t="s">
        <v>517</v>
      </c>
      <c r="E181" s="63"/>
    </row>
    <row r="182" spans="2:5" ht="33.75" customHeight="1">
      <c r="B182" s="60">
        <v>180</v>
      </c>
      <c r="C182" s="61" t="s">
        <v>518</v>
      </c>
      <c r="D182" s="62" t="s">
        <v>519</v>
      </c>
      <c r="E182" s="63" t="s">
        <v>520</v>
      </c>
    </row>
    <row r="183" spans="2:5" ht="33.75" customHeight="1">
      <c r="B183" s="60">
        <v>181</v>
      </c>
      <c r="C183" s="61" t="s">
        <v>521</v>
      </c>
      <c r="D183" s="62" t="s">
        <v>522</v>
      </c>
      <c r="E183" s="63" t="s">
        <v>523</v>
      </c>
    </row>
    <row r="184" spans="2:5" ht="33.75" customHeight="1">
      <c r="B184" s="60">
        <v>182</v>
      </c>
      <c r="C184" s="61" t="s">
        <v>524</v>
      </c>
      <c r="D184" s="62" t="s">
        <v>525</v>
      </c>
      <c r="E184" s="63" t="s">
        <v>526</v>
      </c>
    </row>
    <row r="185" spans="2:5" ht="33.75" customHeight="1">
      <c r="B185" s="60">
        <v>183</v>
      </c>
      <c r="C185" s="61" t="s">
        <v>527</v>
      </c>
      <c r="D185" s="62" t="s">
        <v>528</v>
      </c>
      <c r="E185" s="63" t="s">
        <v>529</v>
      </c>
    </row>
    <row r="186" spans="2:5" ht="33.75" customHeight="1">
      <c r="B186" s="60">
        <v>184</v>
      </c>
      <c r="C186" s="61" t="s">
        <v>530</v>
      </c>
      <c r="D186" s="62" t="s">
        <v>531</v>
      </c>
      <c r="E186" s="63" t="s">
        <v>529</v>
      </c>
    </row>
    <row r="187" spans="2:5" ht="33.75" customHeight="1">
      <c r="B187" s="60">
        <v>185</v>
      </c>
      <c r="C187" s="61" t="s">
        <v>532</v>
      </c>
      <c r="D187" s="62" t="s">
        <v>533</v>
      </c>
      <c r="E187" s="63" t="s">
        <v>534</v>
      </c>
    </row>
    <row r="188" spans="2:5" ht="33.75" customHeight="1">
      <c r="B188" s="60">
        <v>186</v>
      </c>
      <c r="C188" s="61" t="s">
        <v>535</v>
      </c>
      <c r="D188" s="62" t="s">
        <v>536</v>
      </c>
      <c r="E188" s="63" t="s">
        <v>537</v>
      </c>
    </row>
    <row r="189" spans="2:5" ht="33.75" customHeight="1">
      <c r="B189" s="60">
        <v>187</v>
      </c>
      <c r="C189" s="61" t="s">
        <v>538</v>
      </c>
      <c r="D189" s="62" t="s">
        <v>539</v>
      </c>
      <c r="E189" s="63" t="s">
        <v>540</v>
      </c>
    </row>
    <row r="190" spans="2:5" ht="33.75" customHeight="1">
      <c r="B190" s="60">
        <v>188</v>
      </c>
      <c r="C190" s="61" t="s">
        <v>541</v>
      </c>
      <c r="D190" s="62" t="s">
        <v>542</v>
      </c>
      <c r="E190" s="63"/>
    </row>
    <row r="191" spans="2:5" ht="33.75" customHeight="1">
      <c r="B191" s="60">
        <v>189</v>
      </c>
      <c r="C191" s="61" t="s">
        <v>543</v>
      </c>
      <c r="D191" s="62" t="s">
        <v>544</v>
      </c>
      <c r="E191" s="63" t="s">
        <v>545</v>
      </c>
    </row>
    <row r="192" spans="2:5" ht="33.75" customHeight="1">
      <c r="B192" s="60">
        <v>190</v>
      </c>
      <c r="C192" s="61" t="s">
        <v>546</v>
      </c>
      <c r="D192" s="62" t="s">
        <v>547</v>
      </c>
      <c r="E192" s="63" t="s">
        <v>548</v>
      </c>
    </row>
    <row r="193" spans="2:5" ht="33.75" customHeight="1">
      <c r="B193" s="60">
        <v>191</v>
      </c>
      <c r="C193" s="61" t="s">
        <v>549</v>
      </c>
      <c r="D193" s="62" t="s">
        <v>550</v>
      </c>
      <c r="E193" s="63"/>
    </row>
    <row r="194" spans="2:5" ht="33.75" customHeight="1">
      <c r="B194" s="60">
        <v>192</v>
      </c>
      <c r="C194" s="61" t="s">
        <v>551</v>
      </c>
      <c r="D194" s="62" t="s">
        <v>552</v>
      </c>
      <c r="E194" s="63"/>
    </row>
    <row r="195" spans="2:5" ht="33.75" customHeight="1">
      <c r="B195" s="60">
        <v>193</v>
      </c>
      <c r="C195" s="61" t="s">
        <v>553</v>
      </c>
      <c r="D195" s="62" t="s">
        <v>554</v>
      </c>
      <c r="E195" s="63" t="s">
        <v>555</v>
      </c>
    </row>
    <row r="196" spans="2:5" ht="33.75" customHeight="1">
      <c r="B196" s="60">
        <v>194</v>
      </c>
      <c r="C196" s="61" t="s">
        <v>556</v>
      </c>
      <c r="D196" s="62" t="s">
        <v>557</v>
      </c>
      <c r="E196" s="63" t="s">
        <v>558</v>
      </c>
    </row>
    <row r="197" spans="2:5" ht="33.75" customHeight="1">
      <c r="B197" s="60">
        <v>195</v>
      </c>
      <c r="C197" s="61" t="s">
        <v>559</v>
      </c>
      <c r="D197" s="62" t="s">
        <v>560</v>
      </c>
      <c r="E197" s="63"/>
    </row>
    <row r="198" spans="2:5" ht="33.75" customHeight="1">
      <c r="B198" s="60">
        <v>196</v>
      </c>
      <c r="C198" s="61" t="s">
        <v>561</v>
      </c>
      <c r="D198" s="62" t="s">
        <v>562</v>
      </c>
      <c r="E198" s="63" t="s">
        <v>563</v>
      </c>
    </row>
    <row r="199" spans="2:5" ht="33.75" customHeight="1">
      <c r="B199" s="60">
        <v>197</v>
      </c>
      <c r="C199" s="61" t="s">
        <v>564</v>
      </c>
      <c r="D199" s="62" t="s">
        <v>565</v>
      </c>
      <c r="E199" s="63" t="s">
        <v>566</v>
      </c>
    </row>
    <row r="200" spans="2:5" ht="33.75" customHeight="1">
      <c r="B200" s="60">
        <v>198</v>
      </c>
      <c r="C200" s="61" t="s">
        <v>567</v>
      </c>
      <c r="D200" s="62" t="s">
        <v>568</v>
      </c>
      <c r="E200" s="63" t="s">
        <v>569</v>
      </c>
    </row>
    <row r="201" spans="2:5" ht="33.75" customHeight="1">
      <c r="B201" s="60">
        <v>199</v>
      </c>
      <c r="C201" s="61" t="s">
        <v>570</v>
      </c>
      <c r="D201" s="62" t="s">
        <v>571</v>
      </c>
      <c r="E201" s="63" t="s">
        <v>212</v>
      </c>
    </row>
    <row r="202" spans="2:5" ht="33.75" customHeight="1">
      <c r="B202" s="60">
        <v>200</v>
      </c>
      <c r="C202" s="61" t="s">
        <v>572</v>
      </c>
      <c r="D202" s="62" t="s">
        <v>573</v>
      </c>
      <c r="E202" s="63"/>
    </row>
    <row r="203" spans="2:5" ht="33.75" customHeight="1">
      <c r="B203" s="60">
        <v>201</v>
      </c>
      <c r="C203" s="61" t="s">
        <v>574</v>
      </c>
      <c r="D203" s="62" t="s">
        <v>575</v>
      </c>
      <c r="E203" s="63"/>
    </row>
    <row r="204" spans="2:5" ht="33.75" customHeight="1">
      <c r="B204" s="60">
        <v>202</v>
      </c>
      <c r="C204" s="61" t="s">
        <v>576</v>
      </c>
      <c r="D204" s="62" t="s">
        <v>577</v>
      </c>
      <c r="E204" s="63" t="s">
        <v>219</v>
      </c>
    </row>
    <row r="205" spans="2:5" ht="33.75" customHeight="1">
      <c r="B205" s="60">
        <v>203</v>
      </c>
      <c r="C205" s="61" t="s">
        <v>578</v>
      </c>
      <c r="D205" s="62" t="s">
        <v>579</v>
      </c>
      <c r="E205" s="63" t="s">
        <v>580</v>
      </c>
    </row>
    <row r="206" spans="2:5" ht="33.75" customHeight="1">
      <c r="B206" s="60">
        <v>204</v>
      </c>
      <c r="C206" s="61" t="s">
        <v>581</v>
      </c>
      <c r="D206" s="62" t="s">
        <v>582</v>
      </c>
      <c r="E206" s="63" t="s">
        <v>583</v>
      </c>
    </row>
    <row r="207" spans="2:5" ht="33.75" customHeight="1">
      <c r="B207" s="60">
        <v>205</v>
      </c>
      <c r="C207" s="61" t="s">
        <v>584</v>
      </c>
      <c r="D207" s="62" t="s">
        <v>585</v>
      </c>
      <c r="E207" s="63" t="s">
        <v>586</v>
      </c>
    </row>
    <row r="208" spans="2:5" ht="33.75" customHeight="1">
      <c r="B208" s="60">
        <v>206</v>
      </c>
      <c r="C208" s="61" t="s">
        <v>587</v>
      </c>
      <c r="D208" s="62" t="s">
        <v>588</v>
      </c>
      <c r="E208" s="63" t="s">
        <v>589</v>
      </c>
    </row>
    <row r="209" spans="2:5" ht="33.75" customHeight="1">
      <c r="B209" s="60">
        <v>207</v>
      </c>
      <c r="C209" s="61" t="s">
        <v>590</v>
      </c>
      <c r="D209" s="62" t="s">
        <v>591</v>
      </c>
      <c r="E209" s="63" t="s">
        <v>592</v>
      </c>
    </row>
    <row r="210" spans="2:5" ht="33.75" customHeight="1">
      <c r="B210" s="60">
        <v>208</v>
      </c>
      <c r="C210" s="61" t="s">
        <v>593</v>
      </c>
      <c r="D210" s="62" t="s">
        <v>594</v>
      </c>
      <c r="E210" s="63"/>
    </row>
    <row r="211" spans="2:5" ht="33.75" customHeight="1">
      <c r="B211" s="60">
        <v>209</v>
      </c>
      <c r="C211" s="61" t="s">
        <v>595</v>
      </c>
      <c r="D211" s="62" t="s">
        <v>596</v>
      </c>
      <c r="E211" s="63"/>
    </row>
    <row r="212" spans="2:5" ht="33.75" customHeight="1">
      <c r="B212" s="60">
        <v>210</v>
      </c>
      <c r="C212" s="61" t="s">
        <v>597</v>
      </c>
      <c r="D212" s="62" t="s">
        <v>598</v>
      </c>
      <c r="E212" s="63"/>
    </row>
    <row r="213" spans="2:5" ht="33.75" customHeight="1">
      <c r="B213" s="60">
        <v>211</v>
      </c>
      <c r="C213" s="61" t="s">
        <v>599</v>
      </c>
      <c r="D213" s="62" t="s">
        <v>600</v>
      </c>
      <c r="E213" s="63" t="s">
        <v>601</v>
      </c>
    </row>
    <row r="214" spans="2:5" ht="33.75" customHeight="1">
      <c r="B214" s="60">
        <v>212</v>
      </c>
      <c r="C214" s="61" t="s">
        <v>602</v>
      </c>
      <c r="D214" s="62" t="s">
        <v>603</v>
      </c>
      <c r="E214" s="63"/>
    </row>
    <row r="215" spans="2:5" ht="33.75" customHeight="1">
      <c r="B215" s="60">
        <v>213</v>
      </c>
      <c r="C215" s="61" t="s">
        <v>604</v>
      </c>
      <c r="D215" s="62" t="s">
        <v>605</v>
      </c>
      <c r="E215" s="63" t="s">
        <v>606</v>
      </c>
    </row>
    <row r="216" spans="2:5" ht="33.75" customHeight="1">
      <c r="B216" s="60">
        <v>214</v>
      </c>
      <c r="C216" s="61" t="s">
        <v>607</v>
      </c>
      <c r="D216" s="62" t="s">
        <v>608</v>
      </c>
      <c r="E216" s="63" t="s">
        <v>255</v>
      </c>
    </row>
    <row r="217" spans="2:5" ht="33.75" customHeight="1">
      <c r="B217" s="60">
        <v>215</v>
      </c>
      <c r="C217" s="61" t="s">
        <v>609</v>
      </c>
      <c r="D217" s="62" t="s">
        <v>610</v>
      </c>
      <c r="E217" s="63" t="s">
        <v>611</v>
      </c>
    </row>
    <row r="218" spans="2:5" ht="33.75" customHeight="1">
      <c r="B218" s="60">
        <v>216</v>
      </c>
      <c r="C218" s="61" t="s">
        <v>612</v>
      </c>
      <c r="D218" s="62" t="s">
        <v>613</v>
      </c>
      <c r="E218" s="63"/>
    </row>
    <row r="219" spans="2:5" ht="33.75" customHeight="1">
      <c r="B219" s="60">
        <v>217</v>
      </c>
      <c r="C219" s="61" t="s">
        <v>614</v>
      </c>
      <c r="D219" s="62" t="s">
        <v>615</v>
      </c>
      <c r="E219" s="63" t="s">
        <v>611</v>
      </c>
    </row>
    <row r="220" spans="2:5" ht="33.75" customHeight="1">
      <c r="B220" s="60">
        <v>218</v>
      </c>
      <c r="C220" s="61" t="s">
        <v>616</v>
      </c>
      <c r="D220" s="62" t="s">
        <v>617</v>
      </c>
      <c r="E220" s="63" t="s">
        <v>618</v>
      </c>
    </row>
    <row r="221" spans="2:5" ht="33.75" customHeight="1">
      <c r="B221" s="60">
        <v>219</v>
      </c>
      <c r="C221" s="61" t="s">
        <v>619</v>
      </c>
      <c r="D221" s="62" t="s">
        <v>620</v>
      </c>
      <c r="E221" s="63"/>
    </row>
    <row r="222" spans="2:5" ht="33.75" customHeight="1">
      <c r="B222" s="60">
        <v>220</v>
      </c>
      <c r="C222" s="61" t="s">
        <v>621</v>
      </c>
      <c r="D222" s="62" t="s">
        <v>622</v>
      </c>
      <c r="E222" s="63"/>
    </row>
    <row r="223" spans="2:5" ht="33.75" customHeight="1">
      <c r="B223" s="60">
        <v>221</v>
      </c>
      <c r="C223" s="61" t="s">
        <v>623</v>
      </c>
      <c r="D223" s="62" t="s">
        <v>624</v>
      </c>
      <c r="E223" s="63" t="s">
        <v>625</v>
      </c>
    </row>
    <row r="224" spans="2:5" ht="33.75" customHeight="1">
      <c r="B224" s="60">
        <v>222</v>
      </c>
      <c r="C224" s="61" t="s">
        <v>626</v>
      </c>
      <c r="D224" s="62" t="s">
        <v>627</v>
      </c>
      <c r="E224" s="63" t="s">
        <v>628</v>
      </c>
    </row>
    <row r="225" spans="2:5" ht="33.75" customHeight="1">
      <c r="B225" s="60">
        <v>223</v>
      </c>
      <c r="C225" s="61" t="s">
        <v>629</v>
      </c>
      <c r="D225" s="62" t="s">
        <v>630</v>
      </c>
      <c r="E225" s="63" t="s">
        <v>279</v>
      </c>
    </row>
    <row r="226" spans="2:5" ht="33.75" customHeight="1">
      <c r="B226" s="60">
        <v>224</v>
      </c>
      <c r="C226" s="61" t="s">
        <v>631</v>
      </c>
      <c r="D226" s="62" t="s">
        <v>632</v>
      </c>
      <c r="E226" s="63" t="s">
        <v>633</v>
      </c>
    </row>
    <row r="227" spans="2:5" ht="33.75" customHeight="1">
      <c r="B227" s="60">
        <v>225</v>
      </c>
      <c r="C227" s="61" t="s">
        <v>634</v>
      </c>
      <c r="D227" s="62" t="s">
        <v>635</v>
      </c>
      <c r="E227" s="63"/>
    </row>
    <row r="228" spans="2:5" ht="33.75" customHeight="1">
      <c r="B228" s="60">
        <v>226</v>
      </c>
      <c r="C228" s="61" t="s">
        <v>636</v>
      </c>
      <c r="D228" s="62" t="s">
        <v>637</v>
      </c>
      <c r="E228" s="63"/>
    </row>
    <row r="229" spans="2:5" ht="33.75" customHeight="1">
      <c r="B229" s="60">
        <v>227</v>
      </c>
      <c r="C229" s="61" t="s">
        <v>638</v>
      </c>
      <c r="D229" s="62" t="s">
        <v>639</v>
      </c>
      <c r="E229" s="63" t="s">
        <v>291</v>
      </c>
    </row>
    <row r="230" spans="2:5" ht="33.75" customHeight="1">
      <c r="B230" s="60">
        <v>228</v>
      </c>
      <c r="C230" s="61" t="s">
        <v>640</v>
      </c>
      <c r="D230" s="62" t="s">
        <v>641</v>
      </c>
      <c r="E230" s="63" t="s">
        <v>642</v>
      </c>
    </row>
    <row r="231" spans="2:5" ht="33.75" customHeight="1">
      <c r="B231" s="60">
        <v>229</v>
      </c>
      <c r="C231" s="61" t="s">
        <v>643</v>
      </c>
      <c r="D231" s="62" t="s">
        <v>644</v>
      </c>
      <c r="E231" s="63" t="s">
        <v>645</v>
      </c>
    </row>
    <row r="232" spans="2:5" ht="33.75" customHeight="1">
      <c r="B232" s="60">
        <v>230</v>
      </c>
      <c r="C232" s="61" t="s">
        <v>646</v>
      </c>
      <c r="D232" s="62" t="s">
        <v>647</v>
      </c>
      <c r="E232" s="63" t="s">
        <v>648</v>
      </c>
    </row>
    <row r="233" spans="2:5" ht="33.75" customHeight="1">
      <c r="B233" s="60">
        <v>231</v>
      </c>
      <c r="C233" s="61" t="s">
        <v>649</v>
      </c>
      <c r="D233" s="62" t="s">
        <v>650</v>
      </c>
      <c r="E233" s="63"/>
    </row>
    <row r="234" spans="2:5" ht="33.75" customHeight="1">
      <c r="B234" s="60">
        <v>232</v>
      </c>
      <c r="C234" s="61" t="s">
        <v>651</v>
      </c>
      <c r="D234" s="62" t="s">
        <v>652</v>
      </c>
      <c r="E234" s="63"/>
    </row>
    <row r="235" spans="2:5" ht="33.75" customHeight="1">
      <c r="B235" s="60">
        <v>233</v>
      </c>
      <c r="C235" s="61" t="s">
        <v>653</v>
      </c>
      <c r="D235" s="62" t="s">
        <v>654</v>
      </c>
      <c r="E235" s="63"/>
    </row>
    <row r="236" spans="2:5" ht="33.75" customHeight="1">
      <c r="B236" s="60">
        <v>234</v>
      </c>
      <c r="C236" s="61" t="s">
        <v>655</v>
      </c>
      <c r="D236" s="62" t="s">
        <v>656</v>
      </c>
      <c r="E236" s="63"/>
    </row>
    <row r="237" spans="2:5" ht="33.75" customHeight="1">
      <c r="B237" s="60">
        <v>235</v>
      </c>
      <c r="C237" s="61" t="s">
        <v>657</v>
      </c>
      <c r="D237" s="62" t="s">
        <v>658</v>
      </c>
      <c r="E237" s="63" t="s">
        <v>659</v>
      </c>
    </row>
    <row r="238" spans="2:5" ht="33.75" customHeight="1">
      <c r="B238" s="60">
        <v>236</v>
      </c>
      <c r="C238" s="61" t="s">
        <v>660</v>
      </c>
      <c r="D238" s="62" t="s">
        <v>661</v>
      </c>
      <c r="E238" s="63"/>
    </row>
    <row r="239" spans="2:5" ht="33.75" customHeight="1">
      <c r="B239" s="60">
        <v>237</v>
      </c>
      <c r="C239" s="61" t="s">
        <v>662</v>
      </c>
      <c r="D239" s="62" t="s">
        <v>663</v>
      </c>
      <c r="E239" s="63" t="s">
        <v>664</v>
      </c>
    </row>
    <row r="240" spans="2:5" ht="33.75" customHeight="1">
      <c r="B240" s="60">
        <v>238</v>
      </c>
      <c r="C240" s="61" t="s">
        <v>665</v>
      </c>
      <c r="D240" s="62" t="s">
        <v>666</v>
      </c>
      <c r="E240" s="63"/>
    </row>
    <row r="241" spans="2:5" ht="33.75" customHeight="1">
      <c r="B241" s="60">
        <v>239</v>
      </c>
      <c r="C241" s="61" t="s">
        <v>667</v>
      </c>
      <c r="D241" s="62" t="s">
        <v>668</v>
      </c>
      <c r="E241" s="63" t="s">
        <v>669</v>
      </c>
    </row>
    <row r="242" spans="2:5" ht="33.75" customHeight="1">
      <c r="B242" s="60">
        <v>240</v>
      </c>
      <c r="C242" s="61" t="s">
        <v>670</v>
      </c>
      <c r="D242" s="62" t="s">
        <v>671</v>
      </c>
      <c r="E242" s="63"/>
    </row>
    <row r="243" spans="2:5" ht="33.75" customHeight="1">
      <c r="B243" s="60">
        <v>241</v>
      </c>
      <c r="C243" s="61" t="s">
        <v>672</v>
      </c>
      <c r="D243" s="62" t="s">
        <v>673</v>
      </c>
      <c r="E243" s="63" t="s">
        <v>674</v>
      </c>
    </row>
    <row r="244" spans="2:5" ht="33.75" customHeight="1">
      <c r="B244" s="60">
        <v>242</v>
      </c>
      <c r="C244" s="61" t="s">
        <v>675</v>
      </c>
      <c r="D244" s="62" t="s">
        <v>676</v>
      </c>
      <c r="E244" s="63"/>
    </row>
    <row r="245" spans="2:5" ht="33.75" customHeight="1">
      <c r="B245" s="60">
        <v>243</v>
      </c>
      <c r="C245" s="61" t="s">
        <v>677</v>
      </c>
      <c r="D245" s="65" t="s">
        <v>678</v>
      </c>
      <c r="E245" s="63" t="s">
        <v>679</v>
      </c>
    </row>
    <row r="246" spans="2:5" ht="33.75" customHeight="1">
      <c r="B246" s="60">
        <v>244</v>
      </c>
      <c r="C246" s="61" t="s">
        <v>680</v>
      </c>
      <c r="D246" s="62" t="s">
        <v>681</v>
      </c>
      <c r="E246" s="63"/>
    </row>
    <row r="247" spans="2:5" ht="33.75" customHeight="1">
      <c r="B247" s="60">
        <v>245</v>
      </c>
      <c r="C247" s="61" t="s">
        <v>682</v>
      </c>
      <c r="D247" s="62" t="s">
        <v>683</v>
      </c>
      <c r="E247" s="63"/>
    </row>
    <row r="248" spans="2:5" ht="33.75" customHeight="1">
      <c r="B248" s="60">
        <v>246</v>
      </c>
      <c r="C248" s="61" t="s">
        <v>684</v>
      </c>
      <c r="D248" s="62" t="s">
        <v>685</v>
      </c>
      <c r="E248" s="63" t="s">
        <v>686</v>
      </c>
    </row>
    <row r="249" spans="2:5" ht="33.75" customHeight="1">
      <c r="B249" s="60">
        <v>247</v>
      </c>
      <c r="C249" s="61" t="s">
        <v>687</v>
      </c>
      <c r="D249" s="62" t="s">
        <v>688</v>
      </c>
      <c r="E249" s="63"/>
    </row>
    <row r="250" spans="2:5" ht="33.75" customHeight="1">
      <c r="B250" s="60">
        <v>248</v>
      </c>
      <c r="C250" s="61" t="s">
        <v>689</v>
      </c>
      <c r="D250" s="62" t="s">
        <v>690</v>
      </c>
      <c r="E250" s="63"/>
    </row>
    <row r="251" spans="2:5" ht="33.75" customHeight="1">
      <c r="B251" s="60">
        <v>249</v>
      </c>
      <c r="C251" s="61" t="s">
        <v>691</v>
      </c>
      <c r="D251" s="62" t="s">
        <v>692</v>
      </c>
      <c r="E251" s="63"/>
    </row>
    <row r="252" spans="2:5" ht="33.75" customHeight="1">
      <c r="B252" s="60">
        <v>250</v>
      </c>
      <c r="C252" s="61" t="s">
        <v>693</v>
      </c>
      <c r="D252" s="62" t="s">
        <v>694</v>
      </c>
      <c r="E252" s="63" t="s">
        <v>695</v>
      </c>
    </row>
    <row r="253" spans="2:5" ht="33.75" customHeight="1">
      <c r="B253" s="60">
        <v>251</v>
      </c>
      <c r="C253" s="61" t="s">
        <v>696</v>
      </c>
      <c r="D253" s="62" t="s">
        <v>697</v>
      </c>
      <c r="E253" s="63" t="s">
        <v>698</v>
      </c>
    </row>
    <row r="254" spans="2:5" ht="33.75" customHeight="1">
      <c r="B254" s="60">
        <v>252</v>
      </c>
      <c r="C254" s="61" t="s">
        <v>699</v>
      </c>
      <c r="D254" s="62" t="s">
        <v>700</v>
      </c>
      <c r="E254" s="63"/>
    </row>
    <row r="255" spans="2:5" ht="33.75" customHeight="1">
      <c r="B255" s="60">
        <v>253</v>
      </c>
      <c r="C255" s="61" t="s">
        <v>701</v>
      </c>
      <c r="D255" s="62" t="s">
        <v>702</v>
      </c>
      <c r="E255" s="63" t="s">
        <v>703</v>
      </c>
    </row>
    <row r="256" spans="2:5" ht="33.75" customHeight="1">
      <c r="B256" s="60">
        <v>254</v>
      </c>
      <c r="C256" s="61" t="s">
        <v>704</v>
      </c>
      <c r="D256" s="62" t="s">
        <v>705</v>
      </c>
      <c r="E256" s="63"/>
    </row>
    <row r="257" spans="2:5" ht="33.75" customHeight="1">
      <c r="B257" s="60">
        <v>255</v>
      </c>
      <c r="C257" s="61" t="s">
        <v>706</v>
      </c>
      <c r="D257" s="62" t="s">
        <v>707</v>
      </c>
      <c r="E257" s="63"/>
    </row>
    <row r="258" spans="2:5" ht="33.75" customHeight="1">
      <c r="B258" s="60">
        <v>256</v>
      </c>
      <c r="C258" s="61" t="s">
        <v>708</v>
      </c>
      <c r="D258" s="62" t="s">
        <v>709</v>
      </c>
      <c r="E258" s="63" t="s">
        <v>710</v>
      </c>
    </row>
    <row r="259" spans="2:5" ht="33.75" customHeight="1">
      <c r="B259" s="60">
        <v>257</v>
      </c>
      <c r="C259" s="61" t="s">
        <v>711</v>
      </c>
      <c r="D259" s="62" t="s">
        <v>712</v>
      </c>
      <c r="E259" s="63" t="s">
        <v>710</v>
      </c>
    </row>
    <row r="260" spans="2:5" ht="33.75" customHeight="1">
      <c r="B260" s="60">
        <v>258</v>
      </c>
      <c r="C260" s="61" t="s">
        <v>713</v>
      </c>
      <c r="D260" s="62" t="s">
        <v>714</v>
      </c>
      <c r="E260" s="63" t="s">
        <v>715</v>
      </c>
    </row>
    <row r="261" spans="2:5" ht="33.75" customHeight="1">
      <c r="B261" s="60">
        <v>259</v>
      </c>
      <c r="C261" s="61" t="s">
        <v>716</v>
      </c>
      <c r="D261" s="62" t="s">
        <v>717</v>
      </c>
      <c r="E261" s="63"/>
    </row>
    <row r="262" spans="2:5" ht="33.75" customHeight="1">
      <c r="B262" s="60">
        <v>260</v>
      </c>
      <c r="C262" s="61" t="s">
        <v>718</v>
      </c>
      <c r="D262" s="62" t="s">
        <v>719</v>
      </c>
      <c r="E262" s="63" t="s">
        <v>720</v>
      </c>
    </row>
    <row r="263" spans="2:5" ht="33.75" customHeight="1">
      <c r="B263" s="60">
        <v>261</v>
      </c>
      <c r="C263" s="61" t="s">
        <v>721</v>
      </c>
      <c r="D263" s="62" t="s">
        <v>722</v>
      </c>
      <c r="E263" s="63" t="s">
        <v>720</v>
      </c>
    </row>
    <row r="264" spans="2:5" ht="33.75" customHeight="1">
      <c r="B264" s="60">
        <v>262</v>
      </c>
      <c r="C264" s="61" t="s">
        <v>723</v>
      </c>
      <c r="D264" s="62" t="s">
        <v>724</v>
      </c>
      <c r="E264" s="63" t="s">
        <v>725</v>
      </c>
    </row>
    <row r="265" spans="2:5" ht="33.75" customHeight="1">
      <c r="B265" s="60">
        <v>263</v>
      </c>
      <c r="C265" s="61" t="s">
        <v>726</v>
      </c>
      <c r="D265" s="62" t="s">
        <v>727</v>
      </c>
      <c r="E265" s="63" t="s">
        <v>728</v>
      </c>
    </row>
    <row r="266" spans="2:5" ht="33.75" customHeight="1">
      <c r="B266" s="60">
        <v>264</v>
      </c>
      <c r="C266" s="61" t="s">
        <v>729</v>
      </c>
      <c r="D266" s="62" t="s">
        <v>730</v>
      </c>
      <c r="E266" s="63"/>
    </row>
    <row r="267" spans="2:5" ht="33.75" customHeight="1">
      <c r="B267" s="60">
        <v>265</v>
      </c>
      <c r="C267" s="61" t="s">
        <v>731</v>
      </c>
      <c r="D267" s="62" t="s">
        <v>732</v>
      </c>
      <c r="E267" s="63" t="s">
        <v>733</v>
      </c>
    </row>
    <row r="268" spans="2:5" ht="33.75" customHeight="1">
      <c r="B268" s="60">
        <v>266</v>
      </c>
      <c r="C268" s="61" t="s">
        <v>734</v>
      </c>
      <c r="D268" s="62" t="s">
        <v>735</v>
      </c>
      <c r="E268" s="63" t="s">
        <v>736</v>
      </c>
    </row>
    <row r="269" spans="2:5" ht="33.75" customHeight="1">
      <c r="B269" s="60">
        <v>267</v>
      </c>
      <c r="C269" s="61" t="s">
        <v>737</v>
      </c>
      <c r="D269" s="62" t="s">
        <v>738</v>
      </c>
      <c r="E269" s="63" t="s">
        <v>739</v>
      </c>
    </row>
    <row r="270" spans="2:5" ht="33.75" customHeight="1">
      <c r="B270" s="60">
        <v>268</v>
      </c>
      <c r="C270" s="61" t="s">
        <v>740</v>
      </c>
      <c r="D270" s="62" t="s">
        <v>741</v>
      </c>
      <c r="E270" s="63"/>
    </row>
    <row r="271" spans="2:5" ht="33.75" customHeight="1">
      <c r="B271" s="60">
        <v>269</v>
      </c>
      <c r="C271" s="61" t="s">
        <v>742</v>
      </c>
      <c r="D271" s="62" t="s">
        <v>743</v>
      </c>
      <c r="E271" s="63"/>
    </row>
    <row r="272" spans="2:5" ht="33.75" customHeight="1">
      <c r="B272" s="60">
        <v>270</v>
      </c>
      <c r="C272" s="61" t="s">
        <v>744</v>
      </c>
      <c r="D272" s="62" t="s">
        <v>745</v>
      </c>
      <c r="E272" s="63"/>
    </row>
    <row r="273" spans="2:5" ht="33.75" customHeight="1">
      <c r="B273" s="60">
        <v>271</v>
      </c>
      <c r="C273" s="61" t="s">
        <v>746</v>
      </c>
      <c r="D273" s="62" t="s">
        <v>747</v>
      </c>
      <c r="E273" s="63" t="s">
        <v>748</v>
      </c>
    </row>
    <row r="274" spans="2:5" ht="33.75" customHeight="1">
      <c r="B274" s="60">
        <v>272</v>
      </c>
      <c r="C274" s="61" t="s">
        <v>749</v>
      </c>
      <c r="D274" s="62" t="s">
        <v>750</v>
      </c>
      <c r="E274" s="63" t="s">
        <v>751</v>
      </c>
    </row>
    <row r="275" spans="2:5" ht="33.75" customHeight="1">
      <c r="B275" s="60">
        <v>273</v>
      </c>
      <c r="C275" s="61" t="s">
        <v>752</v>
      </c>
      <c r="D275" s="62" t="s">
        <v>753</v>
      </c>
      <c r="E275" s="63" t="s">
        <v>748</v>
      </c>
    </row>
    <row r="276" spans="2:5" ht="33.75" customHeight="1">
      <c r="B276" s="60">
        <v>274</v>
      </c>
      <c r="C276" s="61" t="s">
        <v>754</v>
      </c>
      <c r="D276" s="62" t="s">
        <v>755</v>
      </c>
      <c r="E276" s="63" t="s">
        <v>748</v>
      </c>
    </row>
    <row r="277" spans="2:5" ht="33.75" customHeight="1">
      <c r="B277" s="60">
        <v>275</v>
      </c>
      <c r="C277" s="61" t="s">
        <v>756</v>
      </c>
      <c r="D277" s="62" t="s">
        <v>757</v>
      </c>
      <c r="E277" s="63" t="s">
        <v>748</v>
      </c>
    </row>
    <row r="278" spans="2:5" ht="33.75" customHeight="1">
      <c r="B278" s="60">
        <v>276</v>
      </c>
      <c r="C278" s="61" t="s">
        <v>758</v>
      </c>
      <c r="D278" s="62" t="s">
        <v>759</v>
      </c>
      <c r="E278" s="63" t="s">
        <v>760</v>
      </c>
    </row>
    <row r="279" spans="2:5" ht="33.75" customHeight="1">
      <c r="B279" s="60">
        <v>277</v>
      </c>
      <c r="C279" s="61" t="s">
        <v>761</v>
      </c>
      <c r="D279" s="62" t="s">
        <v>762</v>
      </c>
      <c r="E279" s="63"/>
    </row>
    <row r="280" spans="2:5" ht="33.75" customHeight="1">
      <c r="B280" s="60">
        <v>278</v>
      </c>
      <c r="C280" s="61" t="s">
        <v>763</v>
      </c>
      <c r="D280" s="62" t="s">
        <v>764</v>
      </c>
      <c r="E280" s="63" t="s">
        <v>765</v>
      </c>
    </row>
    <row r="281" spans="2:5" ht="33.75" customHeight="1">
      <c r="B281" s="60">
        <v>279</v>
      </c>
      <c r="C281" s="61" t="s">
        <v>766</v>
      </c>
      <c r="D281" s="62" t="s">
        <v>767</v>
      </c>
      <c r="E281" s="63"/>
    </row>
    <row r="282" spans="2:5" ht="33.75" customHeight="1">
      <c r="B282" s="60">
        <v>280</v>
      </c>
      <c r="C282" s="61" t="s">
        <v>768</v>
      </c>
      <c r="D282" s="62" t="s">
        <v>769</v>
      </c>
      <c r="E282" s="63" t="s">
        <v>770</v>
      </c>
    </row>
    <row r="283" spans="2:5" ht="33.75" customHeight="1">
      <c r="B283" s="60">
        <v>281</v>
      </c>
      <c r="C283" s="61" t="s">
        <v>771</v>
      </c>
      <c r="D283" s="62" t="s">
        <v>772</v>
      </c>
      <c r="E283" s="63"/>
    </row>
    <row r="284" spans="2:5" ht="33.75" customHeight="1">
      <c r="B284" s="60">
        <v>282</v>
      </c>
      <c r="C284" s="61" t="s">
        <v>773</v>
      </c>
      <c r="D284" s="65" t="s">
        <v>774</v>
      </c>
      <c r="E284" s="63"/>
    </row>
    <row r="285" spans="2:5" ht="33.75" customHeight="1">
      <c r="B285" s="60">
        <v>283</v>
      </c>
      <c r="C285" s="61" t="s">
        <v>775</v>
      </c>
      <c r="D285" s="62" t="s">
        <v>776</v>
      </c>
      <c r="E285" s="63"/>
    </row>
    <row r="286" spans="2:5" ht="33.75" customHeight="1">
      <c r="B286" s="60">
        <v>284</v>
      </c>
      <c r="C286" s="61" t="s">
        <v>777</v>
      </c>
      <c r="D286" s="62" t="s">
        <v>778</v>
      </c>
      <c r="E286" s="63" t="s">
        <v>779</v>
      </c>
    </row>
    <row r="287" spans="2:5" ht="33.75" customHeight="1">
      <c r="B287" s="60">
        <v>285</v>
      </c>
      <c r="C287" s="61" t="s">
        <v>780</v>
      </c>
      <c r="D287" s="62" t="s">
        <v>781</v>
      </c>
      <c r="E287" s="63"/>
    </row>
    <row r="288" spans="2:5" ht="33.75" customHeight="1">
      <c r="B288" s="60">
        <v>286</v>
      </c>
      <c r="C288" s="61" t="s">
        <v>782</v>
      </c>
      <c r="D288" s="62" t="s">
        <v>783</v>
      </c>
      <c r="E288" s="63"/>
    </row>
    <row r="289" spans="2:5" ht="33.75" customHeight="1">
      <c r="B289" s="60">
        <v>287</v>
      </c>
      <c r="C289" s="61" t="s">
        <v>784</v>
      </c>
      <c r="D289" s="62" t="s">
        <v>785</v>
      </c>
      <c r="E289" s="63" t="s">
        <v>786</v>
      </c>
    </row>
    <row r="290" spans="2:5" ht="33.75" customHeight="1">
      <c r="B290" s="60">
        <v>288</v>
      </c>
      <c r="C290" s="61" t="s">
        <v>787</v>
      </c>
      <c r="D290" s="62" t="s">
        <v>788</v>
      </c>
      <c r="E290" s="63" t="s">
        <v>789</v>
      </c>
    </row>
    <row r="291" spans="2:5" ht="33.75" customHeight="1">
      <c r="B291" s="60">
        <v>289</v>
      </c>
      <c r="C291" s="61" t="s">
        <v>790</v>
      </c>
      <c r="D291" s="62" t="s">
        <v>791</v>
      </c>
      <c r="E291" s="63"/>
    </row>
    <row r="292" spans="2:5" ht="33.75" customHeight="1">
      <c r="B292" s="60">
        <v>290</v>
      </c>
      <c r="C292" s="61" t="s">
        <v>792</v>
      </c>
      <c r="D292" s="62" t="s">
        <v>793</v>
      </c>
      <c r="E292" s="63" t="s">
        <v>794</v>
      </c>
    </row>
    <row r="293" spans="2:5" ht="33.75" customHeight="1">
      <c r="B293" s="60">
        <v>291</v>
      </c>
      <c r="C293" s="61" t="s">
        <v>795</v>
      </c>
      <c r="D293" s="62" t="s">
        <v>796</v>
      </c>
      <c r="E293" s="63" t="s">
        <v>797</v>
      </c>
    </row>
    <row r="294" spans="2:5" ht="33.75" customHeight="1">
      <c r="B294" s="60">
        <v>292</v>
      </c>
      <c r="C294" s="61" t="s">
        <v>798</v>
      </c>
      <c r="D294" s="62" t="s">
        <v>799</v>
      </c>
      <c r="E294" s="63" t="s">
        <v>797</v>
      </c>
    </row>
    <row r="295" spans="2:5" ht="33.75" customHeight="1">
      <c r="B295" s="60">
        <v>293</v>
      </c>
      <c r="C295" s="61" t="s">
        <v>800</v>
      </c>
      <c r="D295" s="62" t="s">
        <v>801</v>
      </c>
      <c r="E295" s="63" t="s">
        <v>802</v>
      </c>
    </row>
    <row r="296" spans="2:5" ht="33.75" customHeight="1">
      <c r="B296" s="60">
        <v>294</v>
      </c>
      <c r="C296" s="61" t="s">
        <v>803</v>
      </c>
      <c r="D296" s="62" t="s">
        <v>804</v>
      </c>
      <c r="E296" s="63" t="s">
        <v>802</v>
      </c>
    </row>
    <row r="297" spans="2:5" ht="33.75" customHeight="1">
      <c r="B297" s="60">
        <v>295</v>
      </c>
      <c r="C297" s="61" t="s">
        <v>805</v>
      </c>
      <c r="D297" s="62" t="s">
        <v>806</v>
      </c>
      <c r="E297" s="63" t="s">
        <v>807</v>
      </c>
    </row>
    <row r="298" spans="2:5" ht="33.75" customHeight="1">
      <c r="B298" s="60">
        <v>296</v>
      </c>
      <c r="C298" s="61" t="s">
        <v>808</v>
      </c>
      <c r="D298" s="62" t="s">
        <v>809</v>
      </c>
      <c r="E298" s="63" t="s">
        <v>810</v>
      </c>
    </row>
    <row r="299" spans="2:5" ht="33.75" customHeight="1">
      <c r="B299" s="60">
        <v>297</v>
      </c>
      <c r="C299" s="61" t="s">
        <v>811</v>
      </c>
      <c r="D299" s="62" t="s">
        <v>812</v>
      </c>
      <c r="E299" s="63" t="s">
        <v>813</v>
      </c>
    </row>
    <row r="300" spans="2:5" ht="33.75" customHeight="1">
      <c r="B300" s="60">
        <v>298</v>
      </c>
      <c r="C300" s="61" t="s">
        <v>814</v>
      </c>
      <c r="D300" s="62" t="s">
        <v>815</v>
      </c>
      <c r="E300" s="63" t="s">
        <v>816</v>
      </c>
    </row>
    <row r="301" spans="2:5" ht="33.75" customHeight="1">
      <c r="B301" s="60">
        <v>299</v>
      </c>
      <c r="C301" s="61" t="s">
        <v>817</v>
      </c>
      <c r="D301" s="62" t="s">
        <v>818</v>
      </c>
      <c r="E301" s="63" t="s">
        <v>819</v>
      </c>
    </row>
    <row r="302" spans="2:5" ht="33.75" customHeight="1">
      <c r="B302" s="60">
        <v>300</v>
      </c>
      <c r="C302" s="61" t="s">
        <v>820</v>
      </c>
      <c r="D302" s="62" t="s">
        <v>821</v>
      </c>
      <c r="E302" s="63" t="s">
        <v>822</v>
      </c>
    </row>
    <row r="303" spans="2:5" ht="33.75" customHeight="1">
      <c r="B303" s="60">
        <v>301</v>
      </c>
      <c r="C303" s="61" t="s">
        <v>823</v>
      </c>
      <c r="D303" s="62" t="s">
        <v>824</v>
      </c>
      <c r="E303" s="63" t="s">
        <v>825</v>
      </c>
    </row>
    <row r="304" spans="2:5" ht="33.75" customHeight="1">
      <c r="B304" s="60">
        <v>302</v>
      </c>
      <c r="C304" s="61" t="s">
        <v>826</v>
      </c>
      <c r="D304" s="62" t="s">
        <v>827</v>
      </c>
      <c r="E304" s="63" t="s">
        <v>828</v>
      </c>
    </row>
    <row r="305" spans="2:5" ht="33.75" customHeight="1">
      <c r="B305" s="60">
        <v>303</v>
      </c>
      <c r="C305" s="61" t="s">
        <v>829</v>
      </c>
      <c r="D305" s="62" t="s">
        <v>830</v>
      </c>
      <c r="E305" s="63" t="s">
        <v>831</v>
      </c>
    </row>
    <row r="306" spans="2:5" ht="33.75" customHeight="1">
      <c r="B306" s="60">
        <v>304</v>
      </c>
      <c r="C306" s="61" t="s">
        <v>832</v>
      </c>
      <c r="D306" s="62" t="s">
        <v>833</v>
      </c>
      <c r="E306" s="63" t="s">
        <v>834</v>
      </c>
    </row>
    <row r="307" spans="2:5" ht="33.75" customHeight="1">
      <c r="B307" s="60">
        <v>305</v>
      </c>
      <c r="C307" s="61" t="s">
        <v>835</v>
      </c>
      <c r="D307" s="62" t="s">
        <v>836</v>
      </c>
      <c r="E307" s="63" t="s">
        <v>837</v>
      </c>
    </row>
    <row r="308" spans="2:5" ht="33.75" customHeight="1">
      <c r="B308" s="60">
        <v>306</v>
      </c>
      <c r="C308" s="61" t="s">
        <v>838</v>
      </c>
      <c r="D308" s="62" t="s">
        <v>839</v>
      </c>
      <c r="E308" s="63" t="s">
        <v>840</v>
      </c>
    </row>
    <row r="309" spans="2:5" ht="33.75" customHeight="1">
      <c r="B309" s="60">
        <v>307</v>
      </c>
      <c r="C309" s="61" t="s">
        <v>841</v>
      </c>
      <c r="D309" s="62" t="s">
        <v>842</v>
      </c>
      <c r="E309" s="63" t="s">
        <v>843</v>
      </c>
    </row>
    <row r="310" spans="2:5" ht="33.75" customHeight="1">
      <c r="B310" s="60">
        <v>308</v>
      </c>
      <c r="C310" s="61" t="s">
        <v>844</v>
      </c>
      <c r="D310" s="62" t="s">
        <v>845</v>
      </c>
      <c r="E310" s="63" t="s">
        <v>843</v>
      </c>
    </row>
    <row r="311" spans="2:5" ht="33.75" customHeight="1">
      <c r="B311" s="60">
        <v>309</v>
      </c>
      <c r="C311" s="61" t="s">
        <v>846</v>
      </c>
      <c r="D311" s="62" t="s">
        <v>847</v>
      </c>
      <c r="E311" s="63"/>
    </row>
    <row r="312" spans="2:5" ht="33.75" customHeight="1">
      <c r="B312" s="60">
        <v>310</v>
      </c>
      <c r="C312" s="61" t="s">
        <v>848</v>
      </c>
      <c r="D312" s="62" t="s">
        <v>849</v>
      </c>
      <c r="E312" s="63" t="s">
        <v>850</v>
      </c>
    </row>
    <row r="313" spans="2:5" ht="33.75" customHeight="1">
      <c r="B313" s="60">
        <v>311</v>
      </c>
      <c r="C313" s="61" t="s">
        <v>851</v>
      </c>
      <c r="D313" s="62" t="s">
        <v>852</v>
      </c>
      <c r="E313" s="63" t="s">
        <v>853</v>
      </c>
    </row>
    <row r="314" spans="2:5" ht="33.75" customHeight="1">
      <c r="B314" s="60">
        <v>312</v>
      </c>
      <c r="C314" s="61" t="s">
        <v>854</v>
      </c>
      <c r="D314" s="62" t="s">
        <v>855</v>
      </c>
      <c r="E314" s="63" t="s">
        <v>856</v>
      </c>
    </row>
    <row r="315" spans="2:5" ht="33.75" customHeight="1">
      <c r="B315" s="60">
        <v>313</v>
      </c>
      <c r="C315" s="61" t="s">
        <v>857</v>
      </c>
      <c r="D315" s="62" t="s">
        <v>858</v>
      </c>
      <c r="E315" s="63" t="s">
        <v>859</v>
      </c>
    </row>
    <row r="316" spans="2:5" ht="33.75" customHeight="1">
      <c r="B316" s="60">
        <v>314</v>
      </c>
      <c r="C316" s="61" t="s">
        <v>860</v>
      </c>
      <c r="D316" s="62" t="s">
        <v>861</v>
      </c>
      <c r="E316" s="63" t="s">
        <v>862</v>
      </c>
    </row>
    <row r="317" spans="2:5" ht="33.75" customHeight="1">
      <c r="B317" s="60">
        <v>315</v>
      </c>
      <c r="C317" s="61" t="s">
        <v>863</v>
      </c>
      <c r="D317" s="62" t="s">
        <v>864</v>
      </c>
      <c r="E317" s="63" t="s">
        <v>865</v>
      </c>
    </row>
    <row r="318" spans="2:5" ht="33.75" customHeight="1">
      <c r="B318" s="60">
        <v>316</v>
      </c>
      <c r="C318" s="61" t="s">
        <v>866</v>
      </c>
      <c r="D318" s="62" t="s">
        <v>867</v>
      </c>
      <c r="E318" s="63" t="s">
        <v>868</v>
      </c>
    </row>
    <row r="319" spans="2:5" ht="33.75" customHeight="1">
      <c r="B319" s="60">
        <v>317</v>
      </c>
      <c r="C319" s="61" t="s">
        <v>869</v>
      </c>
      <c r="D319" s="62" t="s">
        <v>870</v>
      </c>
      <c r="E319" s="63" t="s">
        <v>871</v>
      </c>
    </row>
    <row r="320" spans="2:5" ht="33.75" customHeight="1">
      <c r="B320" s="60">
        <v>318</v>
      </c>
      <c r="C320" s="61" t="s">
        <v>872</v>
      </c>
      <c r="D320" s="62" t="s">
        <v>873</v>
      </c>
      <c r="E320" s="63" t="s">
        <v>874</v>
      </c>
    </row>
    <row r="321" spans="2:5" ht="33.75" customHeight="1">
      <c r="B321" s="60">
        <v>319</v>
      </c>
      <c r="C321" s="61" t="s">
        <v>875</v>
      </c>
      <c r="D321" s="62" t="s">
        <v>876</v>
      </c>
      <c r="E321" s="63" t="s">
        <v>877</v>
      </c>
    </row>
    <row r="322" spans="2:5" ht="33.75" customHeight="1">
      <c r="B322" s="60">
        <v>320</v>
      </c>
      <c r="C322" s="61" t="s">
        <v>878</v>
      </c>
      <c r="D322" s="62" t="s">
        <v>879</v>
      </c>
      <c r="E322" s="63" t="s">
        <v>880</v>
      </c>
    </row>
    <row r="323" spans="2:5" ht="33.75" customHeight="1">
      <c r="B323" s="60">
        <v>321</v>
      </c>
      <c r="C323" s="61" t="s">
        <v>881</v>
      </c>
      <c r="D323" s="62" t="s">
        <v>882</v>
      </c>
      <c r="E323" s="63" t="s">
        <v>883</v>
      </c>
    </row>
    <row r="324" spans="2:5" ht="33.75" customHeight="1">
      <c r="B324" s="60">
        <v>322</v>
      </c>
      <c r="C324" s="61" t="s">
        <v>884</v>
      </c>
      <c r="D324" s="62" t="s">
        <v>885</v>
      </c>
      <c r="E324" s="63" t="s">
        <v>886</v>
      </c>
    </row>
    <row r="325" spans="2:5" ht="33.75" customHeight="1">
      <c r="B325" s="60">
        <v>323</v>
      </c>
      <c r="C325" s="61" t="s">
        <v>887</v>
      </c>
      <c r="D325" s="62" t="s">
        <v>888</v>
      </c>
      <c r="E325" s="63" t="s">
        <v>889</v>
      </c>
    </row>
    <row r="326" spans="2:5" ht="33.75" customHeight="1">
      <c r="B326" s="60">
        <v>324</v>
      </c>
      <c r="C326" s="61" t="s">
        <v>890</v>
      </c>
      <c r="D326" s="62" t="s">
        <v>891</v>
      </c>
      <c r="E326" s="63" t="s">
        <v>889</v>
      </c>
    </row>
    <row r="327" spans="2:5" ht="33.75" customHeight="1">
      <c r="B327" s="60">
        <v>325</v>
      </c>
      <c r="C327" s="61" t="s">
        <v>892</v>
      </c>
      <c r="D327" s="62" t="s">
        <v>893</v>
      </c>
      <c r="E327" s="63"/>
    </row>
    <row r="328" spans="2:5" ht="33.75" customHeight="1">
      <c r="B328" s="60">
        <v>326</v>
      </c>
      <c r="C328" s="61" t="s">
        <v>894</v>
      </c>
      <c r="D328" s="62" t="s">
        <v>895</v>
      </c>
      <c r="E328" s="63" t="s">
        <v>896</v>
      </c>
    </row>
    <row r="329" spans="2:5" ht="33.75" customHeight="1">
      <c r="B329" s="60">
        <v>327</v>
      </c>
      <c r="C329" s="61" t="s">
        <v>897</v>
      </c>
      <c r="D329" s="62" t="s">
        <v>898</v>
      </c>
      <c r="E329" s="63"/>
    </row>
    <row r="330" spans="2:5" ht="33.75" customHeight="1">
      <c r="B330" s="60">
        <v>328</v>
      </c>
      <c r="C330" s="61" t="s">
        <v>899</v>
      </c>
      <c r="D330" s="62" t="s">
        <v>900</v>
      </c>
      <c r="E330" s="63" t="s">
        <v>901</v>
      </c>
    </row>
    <row r="331" spans="2:5" ht="33.75" customHeight="1">
      <c r="B331" s="60">
        <v>329</v>
      </c>
      <c r="C331" s="61" t="s">
        <v>902</v>
      </c>
      <c r="D331" s="62" t="s">
        <v>903</v>
      </c>
      <c r="E331" s="63"/>
    </row>
    <row r="332" spans="2:5" ht="33.75" customHeight="1">
      <c r="B332" s="60">
        <v>330</v>
      </c>
      <c r="C332" s="61" t="s">
        <v>904</v>
      </c>
      <c r="D332" s="62" t="s">
        <v>905</v>
      </c>
      <c r="E332" s="63"/>
    </row>
    <row r="333" spans="2:5" ht="33.75" customHeight="1">
      <c r="B333" s="60">
        <v>331</v>
      </c>
      <c r="C333" s="61" t="s">
        <v>906</v>
      </c>
      <c r="D333" s="62" t="s">
        <v>907</v>
      </c>
      <c r="E333" s="63"/>
    </row>
    <row r="334" spans="2:5" ht="33.75" customHeight="1">
      <c r="B334" s="60">
        <v>332</v>
      </c>
      <c r="C334" s="61" t="s">
        <v>908</v>
      </c>
      <c r="D334" s="62" t="s">
        <v>909</v>
      </c>
      <c r="E334" s="63"/>
    </row>
    <row r="335" spans="2:5" ht="33.75" customHeight="1">
      <c r="B335" s="60">
        <v>333</v>
      </c>
      <c r="C335" s="61" t="s">
        <v>910</v>
      </c>
      <c r="D335" s="62" t="s">
        <v>911</v>
      </c>
      <c r="E335" s="63" t="s">
        <v>912</v>
      </c>
    </row>
    <row r="336" spans="2:5" ht="33.75" customHeight="1">
      <c r="B336" s="60">
        <v>334</v>
      </c>
      <c r="C336" s="61" t="s">
        <v>913</v>
      </c>
      <c r="D336" s="62" t="s">
        <v>914</v>
      </c>
      <c r="E336" s="63"/>
    </row>
    <row r="337" spans="2:5" ht="33.75" customHeight="1">
      <c r="B337" s="60">
        <v>335</v>
      </c>
      <c r="C337" s="61" t="s">
        <v>915</v>
      </c>
      <c r="D337" s="62" t="s">
        <v>916</v>
      </c>
      <c r="E337" s="63" t="s">
        <v>917</v>
      </c>
    </row>
    <row r="338" spans="2:5" ht="33.75" customHeight="1">
      <c r="B338" s="60">
        <v>336</v>
      </c>
      <c r="C338" s="61" t="s">
        <v>918</v>
      </c>
      <c r="D338" s="62" t="s">
        <v>919</v>
      </c>
      <c r="E338" s="63"/>
    </row>
    <row r="339" spans="2:5" ht="33.75" customHeight="1">
      <c r="B339" s="60">
        <v>337</v>
      </c>
      <c r="C339" s="61" t="s">
        <v>920</v>
      </c>
      <c r="D339" s="62" t="s">
        <v>921</v>
      </c>
      <c r="E339" s="63" t="s">
        <v>922</v>
      </c>
    </row>
    <row r="340" spans="2:5" ht="33.75" customHeight="1">
      <c r="B340" s="60">
        <v>338</v>
      </c>
      <c r="C340" s="61" t="s">
        <v>923</v>
      </c>
      <c r="D340" s="62" t="s">
        <v>924</v>
      </c>
      <c r="E340" s="63"/>
    </row>
    <row r="341" spans="2:5" ht="33.75" customHeight="1">
      <c r="B341" s="60">
        <v>339</v>
      </c>
      <c r="C341" s="61" t="s">
        <v>925</v>
      </c>
      <c r="D341" s="62" t="s">
        <v>926</v>
      </c>
      <c r="E341" s="63"/>
    </row>
    <row r="342" spans="2:5" ht="33.75" customHeight="1">
      <c r="B342" s="60">
        <v>340</v>
      </c>
      <c r="C342" s="61" t="s">
        <v>927</v>
      </c>
      <c r="D342" s="62" t="s">
        <v>928</v>
      </c>
      <c r="E342" s="63"/>
    </row>
    <row r="343" spans="2:5" ht="33.75" customHeight="1">
      <c r="B343" s="60">
        <v>341</v>
      </c>
      <c r="C343" s="61" t="s">
        <v>929</v>
      </c>
      <c r="D343" s="62" t="s">
        <v>930</v>
      </c>
      <c r="E343" s="63" t="s">
        <v>347</v>
      </c>
    </row>
    <row r="344" spans="2:5" ht="33.75" customHeight="1">
      <c r="B344" s="60">
        <v>342</v>
      </c>
      <c r="C344" s="61" t="s">
        <v>931</v>
      </c>
      <c r="D344" s="62" t="s">
        <v>932</v>
      </c>
      <c r="E344" s="63" t="s">
        <v>933</v>
      </c>
    </row>
    <row r="345" spans="2:5" ht="33.75" customHeight="1">
      <c r="B345" s="60">
        <v>343</v>
      </c>
      <c r="C345" s="61" t="s">
        <v>934</v>
      </c>
      <c r="D345" s="62" t="s">
        <v>935</v>
      </c>
      <c r="E345" s="63" t="s">
        <v>936</v>
      </c>
    </row>
    <row r="346" spans="2:5" ht="33.75" customHeight="1">
      <c r="B346" s="60">
        <v>344</v>
      </c>
      <c r="C346" s="61" t="s">
        <v>937</v>
      </c>
      <c r="D346" s="62" t="s">
        <v>938</v>
      </c>
      <c r="E346" s="63"/>
    </row>
    <row r="347" spans="2:5" ht="33.75" customHeight="1">
      <c r="B347" s="60">
        <v>345</v>
      </c>
      <c r="C347" s="61" t="s">
        <v>939</v>
      </c>
      <c r="D347" s="62" t="s">
        <v>940</v>
      </c>
      <c r="E347" s="63"/>
    </row>
    <row r="348" spans="2:5" ht="33.75" customHeight="1">
      <c r="B348" s="60">
        <v>346</v>
      </c>
      <c r="C348" s="61" t="s">
        <v>941</v>
      </c>
      <c r="D348" s="62" t="s">
        <v>942</v>
      </c>
      <c r="E348" s="63"/>
    </row>
    <row r="349" spans="2:5" ht="33.75" customHeight="1">
      <c r="B349" s="60">
        <v>347</v>
      </c>
      <c r="C349" s="61" t="s">
        <v>943</v>
      </c>
      <c r="D349" s="62" t="s">
        <v>944</v>
      </c>
      <c r="E349" s="63" t="s">
        <v>362</v>
      </c>
    </row>
    <row r="350" spans="2:5" ht="33.75" customHeight="1">
      <c r="B350" s="60">
        <v>348</v>
      </c>
      <c r="C350" s="61" t="s">
        <v>945</v>
      </c>
      <c r="D350" s="62" t="s">
        <v>946</v>
      </c>
      <c r="E350" s="63" t="s">
        <v>365</v>
      </c>
    </row>
    <row r="351" spans="2:5" ht="33.75" customHeight="1">
      <c r="B351" s="60">
        <v>349</v>
      </c>
      <c r="C351" s="61" t="s">
        <v>947</v>
      </c>
      <c r="D351" s="62" t="s">
        <v>948</v>
      </c>
      <c r="E351" s="63"/>
    </row>
    <row r="352" spans="2:5" ht="33.75" customHeight="1">
      <c r="B352" s="60">
        <v>350</v>
      </c>
      <c r="C352" s="61" t="s">
        <v>949</v>
      </c>
      <c r="D352" s="62" t="s">
        <v>950</v>
      </c>
      <c r="E352" s="63"/>
    </row>
    <row r="353" spans="2:5" ht="33.75" customHeight="1">
      <c r="B353" s="60">
        <v>351</v>
      </c>
      <c r="C353" s="61" t="s">
        <v>951</v>
      </c>
      <c r="D353" s="62" t="s">
        <v>952</v>
      </c>
      <c r="E353" s="63"/>
    </row>
    <row r="354" spans="2:5" ht="33.75" customHeight="1">
      <c r="B354" s="60">
        <v>352</v>
      </c>
      <c r="C354" s="61" t="s">
        <v>953</v>
      </c>
      <c r="D354" s="62" t="s">
        <v>954</v>
      </c>
      <c r="E354" s="63"/>
    </row>
    <row r="355" spans="2:5" ht="33.75" customHeight="1">
      <c r="B355" s="60">
        <v>353</v>
      </c>
      <c r="C355" s="61" t="s">
        <v>955</v>
      </c>
      <c r="D355" s="62" t="s">
        <v>956</v>
      </c>
      <c r="E355" s="63"/>
    </row>
    <row r="356" spans="2:5" ht="33.75" customHeight="1">
      <c r="B356" s="60">
        <v>354</v>
      </c>
      <c r="C356" s="61" t="s">
        <v>957</v>
      </c>
      <c r="D356" s="62" t="s">
        <v>958</v>
      </c>
      <c r="E356" s="63"/>
    </row>
    <row r="357" spans="2:5" ht="33.75" customHeight="1">
      <c r="B357" s="60">
        <v>355</v>
      </c>
      <c r="C357" s="61" t="s">
        <v>959</v>
      </c>
      <c r="D357" s="62" t="s">
        <v>960</v>
      </c>
      <c r="E357" s="63" t="s">
        <v>961</v>
      </c>
    </row>
    <row r="358" spans="2:5" ht="33.75" customHeight="1">
      <c r="B358" s="60">
        <v>356</v>
      </c>
      <c r="C358" s="61" t="s">
        <v>962</v>
      </c>
      <c r="D358" s="62" t="s">
        <v>963</v>
      </c>
      <c r="E358" s="63"/>
    </row>
    <row r="359" spans="2:5" ht="33.75" customHeight="1">
      <c r="B359" s="60">
        <v>357</v>
      </c>
      <c r="C359" s="61" t="s">
        <v>964</v>
      </c>
      <c r="D359" s="62" t="s">
        <v>965</v>
      </c>
      <c r="E359" s="63" t="s">
        <v>966</v>
      </c>
    </row>
    <row r="360" spans="2:5" ht="33.75" customHeight="1">
      <c r="B360" s="60">
        <v>358</v>
      </c>
      <c r="C360" s="61" t="s">
        <v>967</v>
      </c>
      <c r="D360" s="62" t="s">
        <v>968</v>
      </c>
      <c r="E360" s="63"/>
    </row>
    <row r="361" spans="2:5" ht="33.75" customHeight="1">
      <c r="B361" s="60">
        <v>359</v>
      </c>
      <c r="C361" s="61" t="s">
        <v>969</v>
      </c>
      <c r="D361" s="62" t="s">
        <v>970</v>
      </c>
      <c r="E361" s="63"/>
    </row>
    <row r="362" spans="2:5" ht="33.75" customHeight="1">
      <c r="B362" s="60">
        <v>360</v>
      </c>
      <c r="C362" s="61" t="s">
        <v>971</v>
      </c>
      <c r="D362" s="62" t="s">
        <v>972</v>
      </c>
      <c r="E362" s="63"/>
    </row>
    <row r="363" spans="2:5" ht="33.75" customHeight="1">
      <c r="B363" s="60">
        <v>361</v>
      </c>
      <c r="C363" s="61" t="s">
        <v>973</v>
      </c>
      <c r="D363" s="62" t="s">
        <v>974</v>
      </c>
      <c r="E363" s="63"/>
    </row>
    <row r="364" spans="2:5" ht="33.75" customHeight="1">
      <c r="B364" s="60">
        <v>362</v>
      </c>
      <c r="C364" s="61" t="s">
        <v>975</v>
      </c>
      <c r="D364" s="62" t="s">
        <v>976</v>
      </c>
      <c r="E364" s="63"/>
    </row>
    <row r="365" spans="2:5" ht="33.75" customHeight="1">
      <c r="B365" s="60">
        <v>363</v>
      </c>
      <c r="C365" s="61" t="s">
        <v>977</v>
      </c>
      <c r="D365" s="62" t="s">
        <v>978</v>
      </c>
      <c r="E365" s="63" t="s">
        <v>403</v>
      </c>
    </row>
    <row r="366" spans="2:5" ht="33.75" customHeight="1">
      <c r="B366" s="60">
        <v>364</v>
      </c>
      <c r="C366" s="61" t="s">
        <v>979</v>
      </c>
      <c r="D366" s="62" t="s">
        <v>980</v>
      </c>
      <c r="E366" s="63" t="s">
        <v>981</v>
      </c>
    </row>
    <row r="367" spans="2:5" ht="33.75" customHeight="1">
      <c r="B367" s="60">
        <v>365</v>
      </c>
      <c r="C367" s="61" t="s">
        <v>982</v>
      </c>
      <c r="D367" s="62" t="s">
        <v>983</v>
      </c>
      <c r="E367" s="63"/>
    </row>
    <row r="368" spans="2:5" ht="33.75" customHeight="1">
      <c r="B368" s="60">
        <v>366</v>
      </c>
      <c r="C368" s="61" t="s">
        <v>984</v>
      </c>
      <c r="D368" s="62" t="s">
        <v>985</v>
      </c>
      <c r="E368" s="63"/>
    </row>
    <row r="369" spans="2:5" ht="33.75" customHeight="1">
      <c r="B369" s="60">
        <v>367</v>
      </c>
      <c r="C369" s="61" t="s">
        <v>986</v>
      </c>
      <c r="D369" s="62" t="s">
        <v>987</v>
      </c>
      <c r="E369" s="63"/>
    </row>
    <row r="370" spans="2:5" ht="33.75" customHeight="1">
      <c r="B370" s="60">
        <v>368</v>
      </c>
      <c r="C370" s="61" t="s">
        <v>988</v>
      </c>
      <c r="D370" s="62" t="s">
        <v>989</v>
      </c>
      <c r="E370" s="63"/>
    </row>
    <row r="371" spans="2:5" ht="33.75" customHeight="1">
      <c r="B371" s="60">
        <v>369</v>
      </c>
      <c r="C371" s="61" t="s">
        <v>990</v>
      </c>
      <c r="D371" s="62" t="s">
        <v>991</v>
      </c>
      <c r="E371" s="63" t="s">
        <v>992</v>
      </c>
    </row>
    <row r="372" spans="2:5" ht="33.75" customHeight="1">
      <c r="B372" s="60">
        <v>370</v>
      </c>
      <c r="C372" s="61" t="s">
        <v>993</v>
      </c>
      <c r="D372" s="62" t="s">
        <v>994</v>
      </c>
      <c r="E372" s="63"/>
    </row>
    <row r="373" spans="2:5" ht="33.75" customHeight="1">
      <c r="B373" s="60">
        <v>371</v>
      </c>
      <c r="C373" s="61" t="s">
        <v>995</v>
      </c>
      <c r="D373" s="62" t="s">
        <v>996</v>
      </c>
      <c r="E373" s="63"/>
    </row>
    <row r="374" spans="2:5" ht="33.75" customHeight="1">
      <c r="B374" s="60">
        <v>372</v>
      </c>
      <c r="C374" s="61" t="s">
        <v>997</v>
      </c>
      <c r="D374" s="62" t="s">
        <v>998</v>
      </c>
      <c r="E374" s="63" t="s">
        <v>999</v>
      </c>
    </row>
    <row r="375" spans="2:5" ht="33.75" customHeight="1">
      <c r="B375" s="60">
        <v>373</v>
      </c>
      <c r="C375" s="61" t="s">
        <v>1000</v>
      </c>
      <c r="D375" s="62" t="s">
        <v>1001</v>
      </c>
      <c r="E375" s="63"/>
    </row>
    <row r="376" spans="2:5" ht="33.75" customHeight="1">
      <c r="B376" s="60">
        <v>374</v>
      </c>
      <c r="C376" s="61" t="s">
        <v>1002</v>
      </c>
      <c r="D376" s="62" t="s">
        <v>1003</v>
      </c>
      <c r="E376" s="63" t="s">
        <v>1004</v>
      </c>
    </row>
    <row r="377" spans="2:5" ht="33.75" customHeight="1">
      <c r="B377" s="60">
        <v>375</v>
      </c>
      <c r="C377" s="61" t="s">
        <v>1005</v>
      </c>
      <c r="D377" s="62" t="s">
        <v>1006</v>
      </c>
      <c r="E377" s="63" t="s">
        <v>1007</v>
      </c>
    </row>
    <row r="378" spans="2:5" ht="33.75" customHeight="1">
      <c r="B378" s="60">
        <v>376</v>
      </c>
      <c r="C378" s="61" t="s">
        <v>1008</v>
      </c>
      <c r="D378" s="62" t="s">
        <v>1009</v>
      </c>
      <c r="E378" s="63"/>
    </row>
    <row r="379" spans="2:5" ht="33.75" customHeight="1">
      <c r="B379" s="60">
        <v>377</v>
      </c>
      <c r="C379" s="61" t="s">
        <v>1010</v>
      </c>
      <c r="D379" s="62" t="s">
        <v>1011</v>
      </c>
      <c r="E379" s="63"/>
    </row>
    <row r="380" spans="2:5" ht="33.75" customHeight="1">
      <c r="B380" s="60">
        <v>378</v>
      </c>
      <c r="C380" s="61" t="s">
        <v>1012</v>
      </c>
      <c r="D380" s="62" t="s">
        <v>1013</v>
      </c>
      <c r="E380" s="63" t="s">
        <v>1014</v>
      </c>
    </row>
    <row r="381" spans="2:5" ht="33.75" customHeight="1">
      <c r="B381" s="60">
        <v>379</v>
      </c>
      <c r="C381" s="61" t="s">
        <v>1015</v>
      </c>
      <c r="D381" s="62" t="s">
        <v>1016</v>
      </c>
      <c r="E381" s="63"/>
    </row>
    <row r="382" spans="2:5" ht="33.75" customHeight="1">
      <c r="B382" s="60">
        <v>380</v>
      </c>
      <c r="C382" s="61" t="s">
        <v>1017</v>
      </c>
      <c r="D382" s="62" t="s">
        <v>1018</v>
      </c>
      <c r="E382" s="63"/>
    </row>
    <row r="383" spans="2:5" ht="33.75" customHeight="1">
      <c r="B383" s="60">
        <v>381</v>
      </c>
      <c r="C383" s="61" t="s">
        <v>1019</v>
      </c>
      <c r="D383" s="62" t="s">
        <v>1020</v>
      </c>
      <c r="E383" s="63" t="s">
        <v>1021</v>
      </c>
    </row>
    <row r="384" spans="2:5" ht="33.75" customHeight="1">
      <c r="B384" s="60">
        <v>382</v>
      </c>
      <c r="C384" s="61" t="s">
        <v>1022</v>
      </c>
      <c r="D384" s="62" t="s">
        <v>1023</v>
      </c>
      <c r="E384" s="63"/>
    </row>
    <row r="385" spans="2:5" ht="33.75" customHeight="1">
      <c r="B385" s="60">
        <v>383</v>
      </c>
      <c r="C385" s="61" t="s">
        <v>1024</v>
      </c>
      <c r="D385" s="62" t="s">
        <v>1025</v>
      </c>
      <c r="E385" s="63"/>
    </row>
    <row r="386" spans="2:5" ht="33.75" customHeight="1">
      <c r="B386" s="60">
        <v>384</v>
      </c>
      <c r="C386" s="61" t="s">
        <v>1026</v>
      </c>
      <c r="D386" s="62" t="s">
        <v>1027</v>
      </c>
      <c r="E386" s="63"/>
    </row>
    <row r="387" spans="2:5" ht="33.75" customHeight="1">
      <c r="B387" s="60">
        <v>385</v>
      </c>
      <c r="C387" s="61" t="s">
        <v>1028</v>
      </c>
      <c r="D387" s="62" t="s">
        <v>1029</v>
      </c>
      <c r="E387" s="63" t="s">
        <v>1030</v>
      </c>
    </row>
    <row r="388" spans="2:5" ht="33.75" customHeight="1">
      <c r="B388" s="60">
        <v>386</v>
      </c>
      <c r="C388" s="61" t="s">
        <v>1031</v>
      </c>
      <c r="D388" s="62" t="s">
        <v>1032</v>
      </c>
      <c r="E388" s="63"/>
    </row>
    <row r="389" spans="2:5" ht="33.75" customHeight="1">
      <c r="B389" s="60">
        <v>387</v>
      </c>
      <c r="C389" s="61" t="s">
        <v>1033</v>
      </c>
      <c r="D389" s="62" t="s">
        <v>1034</v>
      </c>
      <c r="E389" s="63" t="s">
        <v>1035</v>
      </c>
    </row>
    <row r="390" spans="2:5" ht="33.75" customHeight="1">
      <c r="B390" s="60">
        <v>388</v>
      </c>
      <c r="C390" s="61" t="s">
        <v>1036</v>
      </c>
      <c r="D390" s="62" t="s">
        <v>1037</v>
      </c>
      <c r="E390" s="63"/>
    </row>
    <row r="391" spans="2:5" ht="33.75" customHeight="1">
      <c r="B391" s="60">
        <v>389</v>
      </c>
      <c r="C391" s="61" t="s">
        <v>1038</v>
      </c>
      <c r="D391" s="62" t="s">
        <v>1039</v>
      </c>
      <c r="E391" s="63"/>
    </row>
    <row r="392" spans="2:5" ht="33.75" customHeight="1">
      <c r="B392" s="60">
        <v>390</v>
      </c>
      <c r="C392" s="61" t="s">
        <v>1040</v>
      </c>
      <c r="D392" s="62" t="s">
        <v>1041</v>
      </c>
      <c r="E392" s="63" t="s">
        <v>1042</v>
      </c>
    </row>
    <row r="393" spans="2:5" ht="33.75" customHeight="1">
      <c r="B393" s="60">
        <v>391</v>
      </c>
      <c r="C393" s="61" t="s">
        <v>1043</v>
      </c>
      <c r="D393" s="62" t="s">
        <v>1044</v>
      </c>
      <c r="E393" s="63"/>
    </row>
    <row r="394" spans="2:5" ht="33.75" customHeight="1">
      <c r="B394" s="60">
        <v>392</v>
      </c>
      <c r="C394" s="61" t="s">
        <v>1045</v>
      </c>
      <c r="D394" s="62" t="s">
        <v>1046</v>
      </c>
      <c r="E394" s="63"/>
    </row>
    <row r="395" spans="2:5" ht="33.75" customHeight="1">
      <c r="B395" s="60">
        <v>393</v>
      </c>
      <c r="C395" s="61" t="s">
        <v>1047</v>
      </c>
      <c r="D395" s="62" t="s">
        <v>1048</v>
      </c>
      <c r="E395" s="63"/>
    </row>
    <row r="396" spans="2:5" ht="33.75" customHeight="1">
      <c r="B396" s="60">
        <v>394</v>
      </c>
      <c r="C396" s="61" t="s">
        <v>1049</v>
      </c>
      <c r="D396" s="62" t="s">
        <v>1050</v>
      </c>
      <c r="E396" s="63"/>
    </row>
    <row r="397" spans="2:5" ht="33.75" customHeight="1">
      <c r="B397" s="60">
        <v>395</v>
      </c>
      <c r="C397" s="61" t="s">
        <v>1051</v>
      </c>
      <c r="D397" s="62" t="s">
        <v>1052</v>
      </c>
      <c r="E397" s="63" t="s">
        <v>1053</v>
      </c>
    </row>
    <row r="398" spans="2:5" ht="33.75" customHeight="1">
      <c r="B398" s="60">
        <v>396</v>
      </c>
      <c r="C398" s="61" t="s">
        <v>1054</v>
      </c>
      <c r="D398" s="62" t="s">
        <v>1055</v>
      </c>
      <c r="E398" s="63"/>
    </row>
    <row r="399" spans="2:5" ht="33.75" customHeight="1">
      <c r="B399" s="60">
        <v>397</v>
      </c>
      <c r="C399" s="61" t="s">
        <v>1056</v>
      </c>
      <c r="D399" s="62" t="s">
        <v>1057</v>
      </c>
      <c r="E399" s="63"/>
    </row>
    <row r="400" spans="2:5" ht="33.75" customHeight="1">
      <c r="B400" s="60">
        <v>398</v>
      </c>
      <c r="C400" s="61" t="s">
        <v>1058</v>
      </c>
      <c r="D400" s="62" t="s">
        <v>1059</v>
      </c>
      <c r="E400" s="63"/>
    </row>
    <row r="401" spans="2:5" ht="33.75" customHeight="1">
      <c r="B401" s="60">
        <v>399</v>
      </c>
      <c r="C401" s="61" t="s">
        <v>1060</v>
      </c>
      <c r="D401" s="62" t="s">
        <v>1061</v>
      </c>
      <c r="E401" s="63" t="s">
        <v>1062</v>
      </c>
    </row>
    <row r="402" spans="2:5" ht="33.75" customHeight="1">
      <c r="B402" s="60">
        <v>400</v>
      </c>
      <c r="C402" s="61" t="s">
        <v>1063</v>
      </c>
      <c r="D402" s="62" t="s">
        <v>1064</v>
      </c>
      <c r="E402" s="63"/>
    </row>
    <row r="403" spans="2:5" ht="33.75" customHeight="1">
      <c r="B403" s="60">
        <v>401</v>
      </c>
      <c r="C403" s="61" t="s">
        <v>1065</v>
      </c>
      <c r="D403" s="62" t="s">
        <v>1066</v>
      </c>
      <c r="E403" s="63"/>
    </row>
    <row r="404" spans="2:5" ht="33.75" customHeight="1">
      <c r="B404" s="60">
        <v>402</v>
      </c>
      <c r="C404" s="61" t="s">
        <v>1067</v>
      </c>
      <c r="D404" s="62" t="s">
        <v>1068</v>
      </c>
      <c r="E404" s="63" t="s">
        <v>1069</v>
      </c>
    </row>
    <row r="405" spans="2:5" ht="33.75" customHeight="1">
      <c r="B405" s="60">
        <v>403</v>
      </c>
      <c r="C405" s="61" t="s">
        <v>1070</v>
      </c>
      <c r="D405" s="62" t="s">
        <v>1071</v>
      </c>
      <c r="E405" s="63" t="s">
        <v>1072</v>
      </c>
    </row>
    <row r="406" spans="2:5" ht="33.75" customHeight="1">
      <c r="B406" s="60">
        <v>404</v>
      </c>
      <c r="C406" s="61" t="s">
        <v>1073</v>
      </c>
      <c r="D406" s="62" t="s">
        <v>1074</v>
      </c>
      <c r="E406" s="64" t="s">
        <v>1075</v>
      </c>
    </row>
    <row r="407" spans="2:5" ht="33.75" customHeight="1">
      <c r="B407" s="60">
        <v>405</v>
      </c>
      <c r="C407" s="61" t="s">
        <v>1076</v>
      </c>
      <c r="D407" s="62" t="s">
        <v>1077</v>
      </c>
      <c r="E407" s="63" t="s">
        <v>1078</v>
      </c>
    </row>
    <row r="408" spans="2:5" ht="33.75" customHeight="1">
      <c r="B408" s="60">
        <v>406</v>
      </c>
      <c r="C408" s="61" t="s">
        <v>1079</v>
      </c>
      <c r="D408" s="62" t="s">
        <v>1080</v>
      </c>
      <c r="E408" s="63" t="s">
        <v>1081</v>
      </c>
    </row>
    <row r="409" spans="2:5" ht="33.75" customHeight="1">
      <c r="B409" s="60">
        <v>407</v>
      </c>
      <c r="C409" s="61" t="s">
        <v>1082</v>
      </c>
      <c r="D409" s="62" t="s">
        <v>1083</v>
      </c>
      <c r="E409" s="63" t="s">
        <v>1084</v>
      </c>
    </row>
    <row r="410" spans="2:5" ht="33.75" customHeight="1">
      <c r="B410" s="60">
        <v>408</v>
      </c>
      <c r="C410" s="61" t="s">
        <v>1085</v>
      </c>
      <c r="D410" s="62" t="s">
        <v>1086</v>
      </c>
      <c r="E410" s="63"/>
    </row>
    <row r="411" spans="2:5" ht="33.75" customHeight="1">
      <c r="B411" s="60">
        <v>409</v>
      </c>
      <c r="C411" s="61" t="s">
        <v>1087</v>
      </c>
      <c r="D411" s="62" t="s">
        <v>1088</v>
      </c>
      <c r="E411" s="63"/>
    </row>
    <row r="412" spans="2:5" ht="33.75" customHeight="1">
      <c r="B412" s="60">
        <v>410</v>
      </c>
      <c r="C412" s="61" t="s">
        <v>1089</v>
      </c>
      <c r="D412" s="62" t="s">
        <v>1090</v>
      </c>
      <c r="E412" s="63"/>
    </row>
    <row r="413" spans="2:5" ht="33.75" customHeight="1">
      <c r="B413" s="60">
        <v>411</v>
      </c>
      <c r="C413" s="61" t="s">
        <v>1091</v>
      </c>
      <c r="D413" s="62" t="s">
        <v>1092</v>
      </c>
      <c r="E413" s="63"/>
    </row>
    <row r="414" spans="2:5" ht="33.75" customHeight="1">
      <c r="B414" s="60">
        <v>412</v>
      </c>
      <c r="C414" s="61" t="s">
        <v>1093</v>
      </c>
      <c r="D414" s="62" t="s">
        <v>1094</v>
      </c>
      <c r="E414" s="63"/>
    </row>
    <row r="415" spans="2:5" ht="33.75" customHeight="1">
      <c r="B415" s="60">
        <v>413</v>
      </c>
      <c r="C415" s="61" t="s">
        <v>1095</v>
      </c>
      <c r="D415" s="62" t="s">
        <v>1096</v>
      </c>
      <c r="E415" s="63"/>
    </row>
    <row r="416" spans="2:5" ht="33.75" customHeight="1">
      <c r="B416" s="60">
        <v>414</v>
      </c>
      <c r="C416" s="61" t="s">
        <v>1097</v>
      </c>
      <c r="D416" s="62" t="s">
        <v>1098</v>
      </c>
      <c r="E416" s="63"/>
    </row>
    <row r="417" spans="2:5" ht="33.75" customHeight="1">
      <c r="B417" s="60">
        <v>415</v>
      </c>
      <c r="C417" s="61" t="s">
        <v>1099</v>
      </c>
      <c r="D417" s="62" t="s">
        <v>1100</v>
      </c>
      <c r="E417" s="63"/>
    </row>
    <row r="418" spans="2:5" ht="33.75" customHeight="1">
      <c r="B418" s="60">
        <v>416</v>
      </c>
      <c r="C418" s="61" t="s">
        <v>1101</v>
      </c>
      <c r="D418" s="62" t="s">
        <v>1102</v>
      </c>
      <c r="E418" s="63"/>
    </row>
    <row r="419" spans="2:5" ht="33.75" customHeight="1">
      <c r="B419" s="60">
        <v>417</v>
      </c>
      <c r="C419" s="61" t="s">
        <v>1103</v>
      </c>
      <c r="D419" s="65" t="s">
        <v>1104</v>
      </c>
      <c r="E419" s="63"/>
    </row>
    <row r="420" spans="2:5" ht="33.75" customHeight="1">
      <c r="B420" s="60">
        <v>418</v>
      </c>
      <c r="C420" s="61" t="s">
        <v>1105</v>
      </c>
      <c r="D420" s="62" t="s">
        <v>1106</v>
      </c>
      <c r="E420" s="63"/>
    </row>
    <row r="421" spans="2:5" ht="33.75" customHeight="1">
      <c r="B421" s="60">
        <v>419</v>
      </c>
      <c r="C421" s="61" t="s">
        <v>1107</v>
      </c>
      <c r="D421" s="62" t="s">
        <v>1108</v>
      </c>
      <c r="E421" s="63"/>
    </row>
    <row r="422" spans="2:5" ht="33.75" customHeight="1">
      <c r="B422" s="60">
        <v>420</v>
      </c>
      <c r="C422" s="61" t="s">
        <v>1109</v>
      </c>
      <c r="D422" s="62" t="s">
        <v>1110</v>
      </c>
      <c r="E422" s="63"/>
    </row>
    <row r="423" spans="2:5" ht="33.75" customHeight="1">
      <c r="B423" s="60">
        <v>421</v>
      </c>
      <c r="C423" s="61" t="s">
        <v>1111</v>
      </c>
      <c r="D423" s="62" t="s">
        <v>1112</v>
      </c>
      <c r="E423" s="63"/>
    </row>
    <row r="424" spans="2:5" ht="33.75" customHeight="1">
      <c r="B424" s="60">
        <v>422</v>
      </c>
      <c r="C424" s="61" t="s">
        <v>1113</v>
      </c>
      <c r="D424" s="62" t="s">
        <v>1114</v>
      </c>
      <c r="E424" s="63"/>
    </row>
    <row r="425" spans="2:5" ht="33.75" customHeight="1">
      <c r="B425" s="60">
        <v>423</v>
      </c>
      <c r="C425" s="61" t="s">
        <v>1115</v>
      </c>
      <c r="D425" s="62" t="s">
        <v>1116</v>
      </c>
      <c r="E425" s="63"/>
    </row>
    <row r="426" spans="2:5" ht="33.75" customHeight="1">
      <c r="B426" s="60">
        <v>424</v>
      </c>
      <c r="C426" s="61" t="s">
        <v>1117</v>
      </c>
      <c r="D426" s="62" t="s">
        <v>1118</v>
      </c>
      <c r="E426" s="63" t="s">
        <v>1119</v>
      </c>
    </row>
    <row r="427" spans="2:5" ht="33.75" customHeight="1">
      <c r="B427" s="60">
        <v>425</v>
      </c>
      <c r="C427" s="61" t="s">
        <v>1120</v>
      </c>
      <c r="D427" s="62" t="s">
        <v>1121</v>
      </c>
      <c r="E427" s="63"/>
    </row>
    <row r="428" spans="2:5" ht="33.75" customHeight="1">
      <c r="B428" s="60">
        <v>426</v>
      </c>
      <c r="C428" s="61" t="s">
        <v>1122</v>
      </c>
      <c r="D428" s="62" t="s">
        <v>1123</v>
      </c>
      <c r="E428" s="64" t="s">
        <v>1124</v>
      </c>
    </row>
    <row r="429" spans="2:5" ht="33.75" customHeight="1">
      <c r="B429" s="60">
        <v>427</v>
      </c>
      <c r="C429" s="61" t="s">
        <v>1125</v>
      </c>
      <c r="D429" s="62" t="s">
        <v>1126</v>
      </c>
      <c r="E429" s="64" t="s">
        <v>1127</v>
      </c>
    </row>
    <row r="430" spans="2:5" ht="33.75" customHeight="1">
      <c r="B430" s="60">
        <v>428</v>
      </c>
      <c r="C430" s="61" t="s">
        <v>1128</v>
      </c>
      <c r="D430" s="62" t="s">
        <v>1129</v>
      </c>
      <c r="E430" s="63"/>
    </row>
    <row r="431" spans="2:5" ht="33.75" customHeight="1">
      <c r="B431" s="60">
        <v>429</v>
      </c>
      <c r="C431" s="61" t="s">
        <v>1130</v>
      </c>
      <c r="D431" s="62" t="s">
        <v>1131</v>
      </c>
      <c r="E431" s="63" t="s">
        <v>1132</v>
      </c>
    </row>
    <row r="432" spans="2:5" ht="33.75" customHeight="1">
      <c r="B432" s="60">
        <v>430</v>
      </c>
      <c r="C432" s="61" t="s">
        <v>1133</v>
      </c>
      <c r="D432" s="62" t="s">
        <v>1134</v>
      </c>
      <c r="E432" s="63"/>
    </row>
    <row r="433" spans="2:5" ht="33.75" customHeight="1">
      <c r="B433" s="60">
        <v>431</v>
      </c>
      <c r="C433" s="61" t="s">
        <v>1135</v>
      </c>
      <c r="D433" s="62" t="s">
        <v>1136</v>
      </c>
      <c r="E433" s="64" t="s">
        <v>1137</v>
      </c>
    </row>
    <row r="434" spans="2:5" ht="33.75" customHeight="1">
      <c r="B434" s="60">
        <v>432</v>
      </c>
      <c r="C434" s="61" t="s">
        <v>1138</v>
      </c>
      <c r="D434" s="62" t="s">
        <v>1139</v>
      </c>
      <c r="E434" s="63"/>
    </row>
    <row r="435" spans="2:5" ht="33.75" customHeight="1">
      <c r="B435" s="60">
        <v>433</v>
      </c>
      <c r="C435" s="61" t="s">
        <v>1140</v>
      </c>
      <c r="D435" s="62" t="s">
        <v>1141</v>
      </c>
      <c r="E435" s="64" t="s">
        <v>1142</v>
      </c>
    </row>
    <row r="436" spans="2:5" ht="33.75" customHeight="1">
      <c r="B436" s="60">
        <v>434</v>
      </c>
      <c r="C436" s="61" t="s">
        <v>1143</v>
      </c>
      <c r="D436" s="62" t="s">
        <v>1144</v>
      </c>
      <c r="E436" s="63"/>
    </row>
    <row r="437" spans="2:5" ht="33.75" customHeight="1">
      <c r="B437" s="60">
        <v>435</v>
      </c>
      <c r="C437" s="61" t="s">
        <v>1145</v>
      </c>
      <c r="D437" s="62" t="s">
        <v>1146</v>
      </c>
      <c r="E437" s="63"/>
    </row>
    <row r="438" spans="2:5" ht="33.75" customHeight="1">
      <c r="B438" s="60">
        <v>436</v>
      </c>
      <c r="C438" s="61" t="s">
        <v>1147</v>
      </c>
      <c r="D438" s="62" t="s">
        <v>1148</v>
      </c>
      <c r="E438" s="63" t="s">
        <v>1149</v>
      </c>
    </row>
    <row r="439" spans="2:5" ht="33.75" customHeight="1">
      <c r="B439" s="60">
        <v>437</v>
      </c>
      <c r="C439" s="61" t="s">
        <v>1150</v>
      </c>
      <c r="D439" s="62" t="s">
        <v>1151</v>
      </c>
      <c r="E439" s="63"/>
    </row>
    <row r="440" spans="2:5" ht="33.75" customHeight="1">
      <c r="B440" s="60">
        <v>438</v>
      </c>
      <c r="C440" s="61" t="s">
        <v>1152</v>
      </c>
      <c r="D440" s="62" t="s">
        <v>1153</v>
      </c>
      <c r="E440" s="63"/>
    </row>
    <row r="441" spans="2:5" ht="33.75" customHeight="1">
      <c r="B441" s="60">
        <v>439</v>
      </c>
      <c r="C441" s="61" t="s">
        <v>1154</v>
      </c>
      <c r="D441" s="62" t="s">
        <v>1155</v>
      </c>
      <c r="E441" s="63"/>
    </row>
    <row r="442" spans="2:5" ht="33.75" customHeight="1">
      <c r="B442" s="60">
        <v>440</v>
      </c>
      <c r="C442" s="61" t="s">
        <v>1156</v>
      </c>
      <c r="D442" s="62" t="s">
        <v>1157</v>
      </c>
      <c r="E442" s="63"/>
    </row>
    <row r="443" spans="2:5" ht="33.75" customHeight="1">
      <c r="B443" s="60">
        <v>441</v>
      </c>
      <c r="C443" s="61" t="s">
        <v>1158</v>
      </c>
      <c r="D443" s="62" t="s">
        <v>1159</v>
      </c>
      <c r="E443" s="63" t="s">
        <v>1160</v>
      </c>
    </row>
    <row r="444" spans="2:5" ht="33.75" customHeight="1">
      <c r="B444" s="60">
        <v>442</v>
      </c>
      <c r="C444" s="61" t="s">
        <v>1161</v>
      </c>
      <c r="D444" s="62" t="s">
        <v>1162</v>
      </c>
      <c r="E444" s="63"/>
    </row>
    <row r="445" spans="2:5" ht="33.75" customHeight="1">
      <c r="B445" s="60">
        <v>443</v>
      </c>
      <c r="C445" s="61" t="s">
        <v>1163</v>
      </c>
      <c r="D445" s="62" t="s">
        <v>1164</v>
      </c>
      <c r="E445" s="63" t="s">
        <v>1165</v>
      </c>
    </row>
    <row r="446" spans="2:5" ht="33.75" customHeight="1">
      <c r="B446" s="60">
        <v>444</v>
      </c>
      <c r="C446" s="61" t="s">
        <v>1166</v>
      </c>
      <c r="D446" s="62" t="s">
        <v>1167</v>
      </c>
      <c r="E446" s="63"/>
    </row>
    <row r="447" spans="2:5" ht="33.75" customHeight="1">
      <c r="B447" s="60">
        <v>445</v>
      </c>
      <c r="C447" s="61" t="s">
        <v>1168</v>
      </c>
      <c r="D447" s="62" t="s">
        <v>1169</v>
      </c>
      <c r="E447" s="63"/>
    </row>
    <row r="448" spans="2:5" ht="33.75" customHeight="1">
      <c r="B448" s="60">
        <v>446</v>
      </c>
      <c r="C448" s="61" t="s">
        <v>1170</v>
      </c>
      <c r="D448" s="62" t="s">
        <v>1171</v>
      </c>
      <c r="E448" s="63"/>
    </row>
    <row r="449" spans="2:5" ht="33.75" customHeight="1">
      <c r="B449" s="60">
        <v>447</v>
      </c>
      <c r="C449" s="61" t="s">
        <v>1172</v>
      </c>
      <c r="D449" s="62" t="s">
        <v>1173</v>
      </c>
      <c r="E449" s="63"/>
    </row>
    <row r="450" spans="2:5" ht="33.75" customHeight="1">
      <c r="B450" s="60">
        <v>448</v>
      </c>
      <c r="C450" s="61" t="s">
        <v>1174</v>
      </c>
      <c r="D450" s="62" t="s">
        <v>1175</v>
      </c>
      <c r="E450" s="63"/>
    </row>
    <row r="451" spans="2:5" ht="33.75" customHeight="1">
      <c r="B451" s="60">
        <v>449</v>
      </c>
      <c r="C451" s="61" t="s">
        <v>1176</v>
      </c>
      <c r="D451" s="62" t="s">
        <v>1177</v>
      </c>
      <c r="E451" s="63"/>
    </row>
    <row r="452" spans="2:5" ht="33.75" customHeight="1">
      <c r="B452" s="60">
        <v>450</v>
      </c>
      <c r="C452" s="61" t="s">
        <v>1178</v>
      </c>
      <c r="D452" s="62" t="s">
        <v>1179</v>
      </c>
      <c r="E452" s="63"/>
    </row>
    <row r="453" spans="2:5" ht="33.75" customHeight="1">
      <c r="B453" s="60">
        <v>451</v>
      </c>
      <c r="C453" s="61" t="s">
        <v>1180</v>
      </c>
      <c r="D453" s="62" t="s">
        <v>1181</v>
      </c>
      <c r="E453" s="63"/>
    </row>
    <row r="454" spans="2:5" ht="33.75" customHeight="1">
      <c r="B454" s="60">
        <v>452</v>
      </c>
      <c r="C454" s="61" t="s">
        <v>1182</v>
      </c>
      <c r="D454" s="62" t="s">
        <v>1183</v>
      </c>
      <c r="E454" s="63"/>
    </row>
    <row r="455" spans="2:5" ht="33.75" customHeight="1">
      <c r="B455" s="60">
        <v>453</v>
      </c>
      <c r="C455" s="61" t="s">
        <v>1184</v>
      </c>
      <c r="D455" s="62" t="s">
        <v>1185</v>
      </c>
      <c r="E455" s="63"/>
    </row>
    <row r="456" spans="2:5" ht="33.75" customHeight="1">
      <c r="B456" s="60">
        <v>454</v>
      </c>
      <c r="C456" s="61" t="s">
        <v>1186</v>
      </c>
      <c r="D456" s="62" t="s">
        <v>1187</v>
      </c>
      <c r="E456" s="63" t="s">
        <v>1188</v>
      </c>
    </row>
    <row r="457" spans="2:5" ht="33.75" customHeight="1">
      <c r="B457" s="60">
        <v>455</v>
      </c>
      <c r="C457" s="61" t="s">
        <v>1189</v>
      </c>
      <c r="D457" s="62" t="s">
        <v>1190</v>
      </c>
      <c r="E457" s="63"/>
    </row>
    <row r="458" spans="2:5" ht="33.75" customHeight="1">
      <c r="B458" s="60">
        <v>456</v>
      </c>
      <c r="C458" s="61" t="s">
        <v>1191</v>
      </c>
      <c r="D458" s="62" t="s">
        <v>1192</v>
      </c>
      <c r="E458" s="63"/>
    </row>
    <row r="459" spans="2:5" ht="33.75" customHeight="1">
      <c r="B459" s="60">
        <v>457</v>
      </c>
      <c r="C459" s="61" t="s">
        <v>1193</v>
      </c>
      <c r="D459" s="62" t="s">
        <v>1194</v>
      </c>
      <c r="E459" s="63" t="s">
        <v>1195</v>
      </c>
    </row>
    <row r="460" spans="2:5" ht="33.75" customHeight="1">
      <c r="B460" s="60">
        <v>458</v>
      </c>
      <c r="C460" s="61" t="s">
        <v>1196</v>
      </c>
      <c r="D460" s="62" t="s">
        <v>1197</v>
      </c>
      <c r="E460" s="63" t="s">
        <v>1198</v>
      </c>
    </row>
    <row r="461" spans="2:5" ht="33.75" customHeight="1">
      <c r="B461" s="60">
        <v>459</v>
      </c>
      <c r="C461" s="61" t="s">
        <v>1199</v>
      </c>
      <c r="D461" s="62" t="s">
        <v>1200</v>
      </c>
      <c r="E461" s="63" t="s">
        <v>1201</v>
      </c>
    </row>
    <row r="462" spans="2:5" ht="33.75" customHeight="1">
      <c r="B462" s="60">
        <v>460</v>
      </c>
      <c r="C462" s="61" t="s">
        <v>1202</v>
      </c>
      <c r="D462" s="62" t="s">
        <v>1203</v>
      </c>
      <c r="E462" s="63" t="s">
        <v>1204</v>
      </c>
    </row>
    <row r="463" spans="2:5" ht="33.75" customHeight="1">
      <c r="B463" s="60">
        <v>461</v>
      </c>
      <c r="C463" s="61" t="s">
        <v>1205</v>
      </c>
      <c r="D463" s="62" t="s">
        <v>1206</v>
      </c>
      <c r="E463" s="63" t="s">
        <v>1207</v>
      </c>
    </row>
    <row r="464" spans="2:5" ht="33.75" customHeight="1">
      <c r="B464" s="60">
        <v>462</v>
      </c>
      <c r="C464" s="61" t="s">
        <v>1208</v>
      </c>
      <c r="D464" s="62" t="s">
        <v>1209</v>
      </c>
      <c r="E464" s="63" t="s">
        <v>1210</v>
      </c>
    </row>
    <row r="465" spans="2:5" ht="33.75" customHeight="1">
      <c r="B465" s="60">
        <v>463</v>
      </c>
      <c r="C465" s="61" t="s">
        <v>1211</v>
      </c>
      <c r="D465" s="62" t="s">
        <v>1212</v>
      </c>
      <c r="E465" s="63" t="s">
        <v>1213</v>
      </c>
    </row>
    <row r="466" spans="2:5" ht="33.75" customHeight="1">
      <c r="B466" s="60">
        <v>464</v>
      </c>
      <c r="C466" s="61" t="s">
        <v>1214</v>
      </c>
      <c r="D466" s="62" t="s">
        <v>1215</v>
      </c>
      <c r="E466" s="63" t="s">
        <v>1216</v>
      </c>
    </row>
    <row r="467" spans="2:5" ht="33.75" customHeight="1">
      <c r="B467" s="60">
        <v>465</v>
      </c>
      <c r="C467" s="61" t="s">
        <v>1217</v>
      </c>
      <c r="D467" s="62" t="s">
        <v>1218</v>
      </c>
      <c r="E467" s="63" t="s">
        <v>1219</v>
      </c>
    </row>
    <row r="468" spans="2:5" ht="33.75" customHeight="1">
      <c r="B468" s="60">
        <v>466</v>
      </c>
      <c r="C468" s="61" t="s">
        <v>1220</v>
      </c>
      <c r="D468" s="62" t="s">
        <v>1221</v>
      </c>
      <c r="E468" s="63"/>
    </row>
    <row r="469" spans="2:5" ht="33.75" customHeight="1">
      <c r="B469" s="60">
        <v>467</v>
      </c>
      <c r="C469" s="61" t="s">
        <v>1222</v>
      </c>
      <c r="D469" s="62" t="s">
        <v>1223</v>
      </c>
      <c r="E469" s="63" t="s">
        <v>1224</v>
      </c>
    </row>
    <row r="470" spans="2:5" ht="33.75" customHeight="1">
      <c r="B470" s="60">
        <v>468</v>
      </c>
      <c r="C470" s="61" t="s">
        <v>1225</v>
      </c>
      <c r="D470" s="62" t="s">
        <v>1226</v>
      </c>
      <c r="E470" s="63"/>
    </row>
    <row r="471" spans="2:5" ht="33.75" customHeight="1">
      <c r="B471" s="60">
        <v>469</v>
      </c>
      <c r="C471" s="61" t="s">
        <v>1227</v>
      </c>
      <c r="D471" s="62" t="s">
        <v>1228</v>
      </c>
      <c r="E471" s="63" t="s">
        <v>1229</v>
      </c>
    </row>
    <row r="472" spans="2:5" ht="33.75" customHeight="1">
      <c r="B472" s="60">
        <v>470</v>
      </c>
      <c r="C472" s="61" t="s">
        <v>1230</v>
      </c>
      <c r="D472" s="62" t="s">
        <v>1231</v>
      </c>
      <c r="E472" s="63" t="s">
        <v>1232</v>
      </c>
    </row>
    <row r="473" spans="2:5" ht="33.75" customHeight="1">
      <c r="B473" s="60">
        <v>471</v>
      </c>
      <c r="C473" s="61" t="s">
        <v>1233</v>
      </c>
      <c r="D473" s="62" t="s">
        <v>1234</v>
      </c>
      <c r="E473" s="63" t="s">
        <v>1235</v>
      </c>
    </row>
    <row r="474" spans="2:5" ht="33.75" customHeight="1">
      <c r="B474" s="60">
        <v>472</v>
      </c>
      <c r="C474" s="61" t="s">
        <v>1236</v>
      </c>
      <c r="D474" s="62" t="s">
        <v>1237</v>
      </c>
      <c r="E474" s="63"/>
    </row>
    <row r="475" spans="2:5" ht="33.75" customHeight="1">
      <c r="B475" s="60">
        <v>473</v>
      </c>
      <c r="C475" s="61" t="s">
        <v>1238</v>
      </c>
      <c r="D475" s="62" t="s">
        <v>1239</v>
      </c>
      <c r="E475" s="63"/>
    </row>
    <row r="476" spans="2:5" ht="33.75" customHeight="1">
      <c r="B476" s="60">
        <v>474</v>
      </c>
      <c r="C476" s="61" t="s">
        <v>1240</v>
      </c>
      <c r="D476" s="62" t="s">
        <v>1241</v>
      </c>
      <c r="E476" s="63"/>
    </row>
    <row r="477" spans="2:5" ht="33.75" customHeight="1">
      <c r="B477" s="60">
        <v>475</v>
      </c>
      <c r="C477" s="61" t="s">
        <v>1242</v>
      </c>
      <c r="D477" s="62" t="s">
        <v>1243</v>
      </c>
      <c r="E477" s="63"/>
    </row>
    <row r="478" spans="2:5" ht="33.75" customHeight="1">
      <c r="B478" s="60">
        <v>476</v>
      </c>
      <c r="C478" s="61" t="s">
        <v>1244</v>
      </c>
      <c r="D478" s="62" t="s">
        <v>1245</v>
      </c>
      <c r="E478" s="63"/>
    </row>
    <row r="479" spans="2:5" ht="33.75" customHeight="1">
      <c r="B479" s="60">
        <v>477</v>
      </c>
      <c r="C479" s="61" t="s">
        <v>1246</v>
      </c>
      <c r="D479" s="62" t="s">
        <v>1247</v>
      </c>
      <c r="E479" s="63" t="s">
        <v>1248</v>
      </c>
    </row>
    <row r="480" spans="2:5" ht="33.75" customHeight="1">
      <c r="B480" s="60">
        <v>478</v>
      </c>
      <c r="C480" s="61" t="s">
        <v>1249</v>
      </c>
      <c r="D480" s="62" t="s">
        <v>1250</v>
      </c>
      <c r="E480" s="63"/>
    </row>
    <row r="481" spans="2:5" ht="33.75" customHeight="1">
      <c r="B481" s="60">
        <v>479</v>
      </c>
      <c r="C481" s="61" t="s">
        <v>1251</v>
      </c>
      <c r="D481" s="62" t="s">
        <v>1252</v>
      </c>
      <c r="E481" s="63" t="s">
        <v>1253</v>
      </c>
    </row>
    <row r="482" spans="2:5" ht="33.75" customHeight="1">
      <c r="B482" s="60">
        <v>480</v>
      </c>
      <c r="C482" s="61" t="s">
        <v>1254</v>
      </c>
      <c r="D482" s="62" t="s">
        <v>1255</v>
      </c>
      <c r="E482" s="63"/>
    </row>
    <row r="483" spans="2:5" ht="33.75" customHeight="1">
      <c r="B483" s="60">
        <v>481</v>
      </c>
      <c r="C483" s="61" t="s">
        <v>1256</v>
      </c>
      <c r="D483" s="62" t="s">
        <v>1257</v>
      </c>
      <c r="E483" s="63"/>
    </row>
    <row r="484" spans="2:5" ht="33.75" customHeight="1">
      <c r="B484" s="60">
        <v>482</v>
      </c>
      <c r="C484" s="61" t="s">
        <v>1258</v>
      </c>
      <c r="D484" s="62" t="s">
        <v>1259</v>
      </c>
      <c r="E484" s="63"/>
    </row>
    <row r="485" spans="2:5" ht="33.75" customHeight="1">
      <c r="B485" s="60">
        <v>483</v>
      </c>
      <c r="C485" s="61" t="s">
        <v>1260</v>
      </c>
      <c r="D485" s="62" t="s">
        <v>1261</v>
      </c>
      <c r="E485" s="63" t="s">
        <v>1262</v>
      </c>
    </row>
    <row r="486" spans="2:5" ht="33.75" customHeight="1">
      <c r="B486" s="60">
        <v>484</v>
      </c>
      <c r="C486" s="61" t="s">
        <v>1263</v>
      </c>
      <c r="D486" s="62" t="s">
        <v>1264</v>
      </c>
      <c r="E486" s="63"/>
    </row>
    <row r="487" spans="2:5" ht="33.75" customHeight="1">
      <c r="B487" s="60">
        <v>485</v>
      </c>
      <c r="C487" s="61" t="s">
        <v>1265</v>
      </c>
      <c r="D487" s="62" t="s">
        <v>1266</v>
      </c>
      <c r="E487" s="63" t="s">
        <v>1267</v>
      </c>
    </row>
    <row r="488" spans="2:5" ht="33.75" customHeight="1">
      <c r="B488" s="60">
        <v>486</v>
      </c>
      <c r="C488" s="61" t="s">
        <v>1268</v>
      </c>
      <c r="D488" s="62" t="s">
        <v>1269</v>
      </c>
      <c r="E488" s="63"/>
    </row>
    <row r="489" spans="2:5" ht="33.75" customHeight="1">
      <c r="B489" s="60">
        <v>487</v>
      </c>
      <c r="C489" s="61" t="s">
        <v>1270</v>
      </c>
      <c r="D489" s="62" t="s">
        <v>1271</v>
      </c>
      <c r="E489" s="63"/>
    </row>
    <row r="490" spans="2:5" ht="33.75" customHeight="1">
      <c r="B490" s="60">
        <v>488</v>
      </c>
      <c r="C490" s="61" t="s">
        <v>1272</v>
      </c>
      <c r="D490" s="62" t="s">
        <v>1273</v>
      </c>
      <c r="E490" s="63" t="s">
        <v>1274</v>
      </c>
    </row>
    <row r="491" spans="2:5" ht="33.75" customHeight="1">
      <c r="B491" s="60">
        <v>489</v>
      </c>
      <c r="C491" s="61" t="s">
        <v>1275</v>
      </c>
      <c r="D491" s="62" t="s">
        <v>1276</v>
      </c>
      <c r="E491" s="63" t="s">
        <v>1277</v>
      </c>
    </row>
    <row r="492" spans="2:5" ht="33.75" customHeight="1">
      <c r="B492" s="60">
        <v>490</v>
      </c>
      <c r="C492" s="61" t="s">
        <v>1278</v>
      </c>
      <c r="D492" s="62" t="s">
        <v>1279</v>
      </c>
      <c r="E492" s="63" t="s">
        <v>1280</v>
      </c>
    </row>
    <row r="493" spans="2:5" ht="33.75" customHeight="1">
      <c r="B493" s="60">
        <v>491</v>
      </c>
      <c r="C493" s="61" t="s">
        <v>1281</v>
      </c>
      <c r="D493" s="62" t="s">
        <v>1282</v>
      </c>
      <c r="E493" s="63"/>
    </row>
    <row r="494" spans="2:5" ht="33.75" customHeight="1">
      <c r="B494" s="60">
        <v>492</v>
      </c>
      <c r="C494" s="61" t="s">
        <v>1283</v>
      </c>
      <c r="D494" s="62" t="s">
        <v>1284</v>
      </c>
      <c r="E494" s="63" t="s">
        <v>1285</v>
      </c>
    </row>
    <row r="495" spans="2:5" ht="33.75" customHeight="1">
      <c r="B495" s="60">
        <v>493</v>
      </c>
      <c r="C495" s="61" t="s">
        <v>1286</v>
      </c>
      <c r="D495" s="62" t="s">
        <v>1287</v>
      </c>
      <c r="E495" s="63" t="s">
        <v>1288</v>
      </c>
    </row>
    <row r="496" spans="2:5" ht="33.75" customHeight="1">
      <c r="B496" s="60">
        <v>494</v>
      </c>
      <c r="C496" s="61" t="s">
        <v>1289</v>
      </c>
      <c r="D496" s="62" t="s">
        <v>1290</v>
      </c>
      <c r="E496" s="63" t="s">
        <v>1288</v>
      </c>
    </row>
    <row r="497" spans="2:5" ht="33.75" customHeight="1">
      <c r="B497" s="60">
        <v>495</v>
      </c>
      <c r="C497" s="61" t="s">
        <v>1291</v>
      </c>
      <c r="D497" s="62" t="s">
        <v>1292</v>
      </c>
      <c r="E497" s="63"/>
    </row>
    <row r="498" spans="2:5" ht="33.75" customHeight="1">
      <c r="B498" s="60">
        <v>496</v>
      </c>
      <c r="C498" s="61" t="s">
        <v>1293</v>
      </c>
      <c r="D498" s="62" t="s">
        <v>1294</v>
      </c>
      <c r="E498" s="63"/>
    </row>
    <row r="499" spans="2:5" ht="33.75" customHeight="1">
      <c r="B499" s="60">
        <v>497</v>
      </c>
      <c r="C499" s="61" t="s">
        <v>1295</v>
      </c>
      <c r="D499" s="65" t="s">
        <v>1296</v>
      </c>
      <c r="E499" s="63" t="s">
        <v>1297</v>
      </c>
    </row>
    <row r="500" spans="2:5" ht="33.75" customHeight="1">
      <c r="B500" s="60">
        <v>498</v>
      </c>
      <c r="C500" s="61" t="s">
        <v>1298</v>
      </c>
      <c r="D500" s="62" t="s">
        <v>1299</v>
      </c>
      <c r="E500" s="63" t="s">
        <v>1300</v>
      </c>
    </row>
    <row r="501" spans="2:5" ht="33.75" customHeight="1">
      <c r="B501" s="60">
        <v>499</v>
      </c>
      <c r="C501" s="61" t="s">
        <v>1301</v>
      </c>
      <c r="D501" s="62" t="s">
        <v>1302</v>
      </c>
      <c r="E501" s="63" t="s">
        <v>1303</v>
      </c>
    </row>
    <row r="502" spans="2:5" ht="33.75" customHeight="1">
      <c r="B502" s="60">
        <v>500</v>
      </c>
      <c r="C502" s="61" t="s">
        <v>1304</v>
      </c>
      <c r="D502" s="62" t="s">
        <v>1305</v>
      </c>
      <c r="E502" s="63"/>
    </row>
    <row r="503" spans="2:5" ht="33.75" customHeight="1">
      <c r="B503" s="60">
        <v>501</v>
      </c>
      <c r="C503" s="61" t="s">
        <v>1306</v>
      </c>
      <c r="D503" s="62" t="s">
        <v>1307</v>
      </c>
      <c r="E503" s="63"/>
    </row>
    <row r="504" spans="2:5" ht="33.75" customHeight="1">
      <c r="B504" s="60">
        <v>502</v>
      </c>
      <c r="C504" s="61" t="s">
        <v>1308</v>
      </c>
      <c r="D504" s="62" t="s">
        <v>1309</v>
      </c>
      <c r="E504" s="63"/>
    </row>
    <row r="505" spans="2:5" ht="33.75" customHeight="1">
      <c r="B505" s="60">
        <v>503</v>
      </c>
      <c r="C505" s="61" t="s">
        <v>1310</v>
      </c>
      <c r="D505" s="62" t="s">
        <v>1311</v>
      </c>
      <c r="E505" s="63" t="s">
        <v>1312</v>
      </c>
    </row>
    <row r="506" spans="2:5" ht="33.75" customHeight="1">
      <c r="B506" s="60">
        <v>504</v>
      </c>
      <c r="C506" s="61" t="s">
        <v>1313</v>
      </c>
      <c r="D506" s="62" t="s">
        <v>1314</v>
      </c>
      <c r="E506" s="63"/>
    </row>
    <row r="507" spans="2:5" ht="33.75" customHeight="1">
      <c r="B507" s="60">
        <v>505</v>
      </c>
      <c r="C507" s="61" t="s">
        <v>1315</v>
      </c>
      <c r="D507" s="62" t="s">
        <v>1316</v>
      </c>
      <c r="E507" s="63">
        <v>0</v>
      </c>
    </row>
    <row r="508" spans="2:5" ht="33.75" customHeight="1">
      <c r="B508" s="60">
        <v>506</v>
      </c>
      <c r="C508" s="61" t="s">
        <v>1317</v>
      </c>
      <c r="D508" s="62" t="s">
        <v>1318</v>
      </c>
      <c r="E508" s="63"/>
    </row>
    <row r="509" spans="2:5" ht="33.75" customHeight="1">
      <c r="B509" s="60">
        <v>507</v>
      </c>
      <c r="C509" s="61" t="s">
        <v>1319</v>
      </c>
      <c r="D509" s="62" t="s">
        <v>1320</v>
      </c>
      <c r="E509" s="63"/>
    </row>
    <row r="510" spans="2:5" ht="33.75" customHeight="1">
      <c r="B510" s="60">
        <v>508</v>
      </c>
      <c r="C510" s="61" t="s">
        <v>1321</v>
      </c>
      <c r="D510" s="62" t="s">
        <v>1322</v>
      </c>
      <c r="E510" s="63" t="s">
        <v>1323</v>
      </c>
    </row>
    <row r="511" spans="2:5" ht="33.75" customHeight="1">
      <c r="B511" s="60">
        <v>509</v>
      </c>
      <c r="C511" s="61" t="s">
        <v>1324</v>
      </c>
      <c r="D511" s="62" t="s">
        <v>1325</v>
      </c>
      <c r="E511" s="63" t="s">
        <v>1326</v>
      </c>
    </row>
    <row r="512" spans="2:5" ht="33.75" customHeight="1">
      <c r="B512" s="60">
        <v>510</v>
      </c>
      <c r="C512" s="61" t="s">
        <v>1327</v>
      </c>
      <c r="D512" s="62" t="s">
        <v>1328</v>
      </c>
      <c r="E512" s="64" t="s">
        <v>1329</v>
      </c>
    </row>
    <row r="513" spans="2:5" ht="33.75" customHeight="1">
      <c r="B513" s="60">
        <v>511</v>
      </c>
      <c r="C513" s="61" t="s">
        <v>1330</v>
      </c>
      <c r="D513" s="62" t="s">
        <v>1331</v>
      </c>
      <c r="E513" s="63"/>
    </row>
    <row r="514" spans="2:5" ht="33.75" customHeight="1">
      <c r="B514" s="60">
        <v>512</v>
      </c>
      <c r="C514" s="61" t="s">
        <v>1332</v>
      </c>
      <c r="D514" s="62" t="s">
        <v>1333</v>
      </c>
      <c r="E514" s="63"/>
    </row>
    <row r="515" spans="2:5" ht="33.75" customHeight="1">
      <c r="B515" s="60">
        <v>513</v>
      </c>
      <c r="C515" s="61" t="s">
        <v>1334</v>
      </c>
      <c r="D515" s="62" t="s">
        <v>1335</v>
      </c>
      <c r="E515" s="63"/>
    </row>
    <row r="516" spans="2:5" ht="33.75" customHeight="1">
      <c r="B516" s="60">
        <v>514</v>
      </c>
      <c r="C516" s="61" t="s">
        <v>1336</v>
      </c>
      <c r="D516" s="62" t="s">
        <v>1337</v>
      </c>
      <c r="E516" s="63"/>
    </row>
    <row r="517" spans="2:5" ht="33.75" customHeight="1">
      <c r="B517" s="60">
        <v>515</v>
      </c>
      <c r="C517" s="61" t="s">
        <v>1338</v>
      </c>
      <c r="D517" s="62" t="s">
        <v>1339</v>
      </c>
      <c r="E517" s="63" t="s">
        <v>1340</v>
      </c>
    </row>
    <row r="518" spans="2:5" ht="33.75" customHeight="1">
      <c r="B518" s="60">
        <v>516</v>
      </c>
      <c r="C518" s="61" t="s">
        <v>1341</v>
      </c>
      <c r="D518" s="62" t="s">
        <v>1342</v>
      </c>
      <c r="E518" s="63"/>
    </row>
    <row r="519" spans="2:5" ht="33.75" customHeight="1">
      <c r="B519" s="60">
        <v>517</v>
      </c>
      <c r="C519" s="61" t="s">
        <v>1343</v>
      </c>
      <c r="D519" s="62" t="s">
        <v>1344</v>
      </c>
      <c r="E519" s="63"/>
    </row>
    <row r="520" spans="2:5" ht="33.75" customHeight="1">
      <c r="B520" s="60">
        <v>518</v>
      </c>
      <c r="C520" s="61" t="s">
        <v>1345</v>
      </c>
      <c r="D520" s="62" t="s">
        <v>1346</v>
      </c>
      <c r="E520" s="63"/>
    </row>
    <row r="521" spans="2:5" ht="33.75" customHeight="1">
      <c r="B521" s="60">
        <v>519</v>
      </c>
      <c r="C521" s="61" t="s">
        <v>1347</v>
      </c>
      <c r="D521" s="62" t="s">
        <v>1348</v>
      </c>
      <c r="E521" s="63" t="s">
        <v>1349</v>
      </c>
    </row>
    <row r="522" spans="2:5" ht="33.75" customHeight="1">
      <c r="B522" s="60">
        <v>520</v>
      </c>
      <c r="C522" s="61" t="s">
        <v>1350</v>
      </c>
      <c r="D522" s="62" t="s">
        <v>1351</v>
      </c>
      <c r="E522" s="63"/>
    </row>
    <row r="523" spans="2:5" ht="33.75" customHeight="1">
      <c r="B523" s="60">
        <v>521</v>
      </c>
      <c r="C523" s="61" t="s">
        <v>1352</v>
      </c>
      <c r="D523" s="62" t="s">
        <v>1353</v>
      </c>
      <c r="E523" s="63"/>
    </row>
    <row r="524" spans="2:5" ht="33.75" customHeight="1">
      <c r="B524" s="60">
        <v>522</v>
      </c>
      <c r="C524" s="61" t="s">
        <v>1354</v>
      </c>
      <c r="D524" s="62" t="s">
        <v>1355</v>
      </c>
      <c r="E524" s="63"/>
    </row>
    <row r="525" spans="2:5" ht="33.75" customHeight="1">
      <c r="B525" s="60">
        <v>523</v>
      </c>
      <c r="C525" s="61" t="s">
        <v>1356</v>
      </c>
      <c r="D525" s="62" t="s">
        <v>1357</v>
      </c>
      <c r="E525" s="63"/>
    </row>
    <row r="526" spans="2:5" ht="33.75" customHeight="1">
      <c r="B526" s="60">
        <v>524</v>
      </c>
      <c r="C526" s="61" t="s">
        <v>1358</v>
      </c>
      <c r="D526" s="62" t="s">
        <v>1359</v>
      </c>
      <c r="E526" s="63"/>
    </row>
    <row r="527" spans="2:5" ht="33.75" customHeight="1">
      <c r="B527" s="60">
        <v>525</v>
      </c>
      <c r="C527" s="61" t="s">
        <v>1360</v>
      </c>
      <c r="D527" s="62" t="s">
        <v>1361</v>
      </c>
      <c r="E527" s="63" t="s">
        <v>1362</v>
      </c>
    </row>
    <row r="528" spans="2:5" ht="33.75" customHeight="1">
      <c r="B528" s="60">
        <v>526</v>
      </c>
      <c r="C528" s="61" t="s">
        <v>1363</v>
      </c>
      <c r="D528" s="62" t="s">
        <v>1364</v>
      </c>
      <c r="E528" s="63"/>
    </row>
    <row r="529" spans="2:5" ht="33.75" customHeight="1">
      <c r="B529" s="60">
        <v>527</v>
      </c>
      <c r="C529" s="61" t="s">
        <v>1365</v>
      </c>
      <c r="D529" s="62" t="s">
        <v>1366</v>
      </c>
      <c r="E529" s="63"/>
    </row>
    <row r="530" spans="2:5" ht="33.75" customHeight="1">
      <c r="B530" s="60">
        <v>528</v>
      </c>
      <c r="C530" s="61" t="s">
        <v>1367</v>
      </c>
      <c r="D530" s="65" t="s">
        <v>1368</v>
      </c>
      <c r="E530" s="63"/>
    </row>
    <row r="531" spans="2:5" ht="33.75" customHeight="1">
      <c r="B531" s="60">
        <v>529</v>
      </c>
      <c r="C531" s="61" t="s">
        <v>1369</v>
      </c>
      <c r="D531" s="62" t="s">
        <v>1370</v>
      </c>
      <c r="E531" s="63"/>
    </row>
    <row r="532" spans="2:5" ht="33.75" customHeight="1">
      <c r="B532" s="60">
        <v>530</v>
      </c>
      <c r="C532" s="61" t="s">
        <v>1371</v>
      </c>
      <c r="D532" s="62" t="s">
        <v>1372</v>
      </c>
      <c r="E532" s="63" t="s">
        <v>1373</v>
      </c>
    </row>
    <row r="533" spans="2:5" ht="33.75" customHeight="1">
      <c r="B533" s="60">
        <v>531</v>
      </c>
      <c r="C533" s="61" t="s">
        <v>1374</v>
      </c>
      <c r="D533" s="62" t="s">
        <v>1375</v>
      </c>
      <c r="E533" s="63"/>
    </row>
    <row r="534" spans="2:5" ht="33.75" customHeight="1">
      <c r="B534" s="60">
        <v>532</v>
      </c>
      <c r="C534" s="61" t="s">
        <v>1376</v>
      </c>
      <c r="D534" s="62" t="s">
        <v>1377</v>
      </c>
      <c r="E534" s="63" t="s">
        <v>1378</v>
      </c>
    </row>
    <row r="535" spans="2:5" ht="33.75" customHeight="1">
      <c r="B535" s="60">
        <v>533</v>
      </c>
      <c r="C535" s="61" t="s">
        <v>1379</v>
      </c>
      <c r="D535" s="62" t="s">
        <v>1380</v>
      </c>
      <c r="E535" s="63"/>
    </row>
    <row r="536" spans="2:5" ht="33.75" customHeight="1">
      <c r="B536" s="60">
        <v>534</v>
      </c>
      <c r="C536" s="61" t="s">
        <v>1381</v>
      </c>
      <c r="D536" s="62" t="s">
        <v>1382</v>
      </c>
      <c r="E536" s="63"/>
    </row>
    <row r="537" spans="2:5" ht="33.75" customHeight="1">
      <c r="B537" s="60">
        <v>535</v>
      </c>
      <c r="C537" s="61" t="s">
        <v>1383</v>
      </c>
      <c r="D537" s="62" t="s">
        <v>1384</v>
      </c>
      <c r="E537" s="63" t="s">
        <v>1385</v>
      </c>
    </row>
    <row r="538" spans="2:5" ht="33.75" customHeight="1">
      <c r="B538" s="60">
        <v>536</v>
      </c>
      <c r="C538" s="61" t="s">
        <v>1386</v>
      </c>
      <c r="D538" s="62" t="s">
        <v>1387</v>
      </c>
      <c r="E538" s="63" t="s">
        <v>1388</v>
      </c>
    </row>
    <row r="539" spans="2:5" ht="33.75" customHeight="1">
      <c r="B539" s="60">
        <v>537</v>
      </c>
      <c r="C539" s="61" t="s">
        <v>1389</v>
      </c>
      <c r="D539" s="62" t="s">
        <v>1390</v>
      </c>
      <c r="E539" s="63"/>
    </row>
    <row r="540" spans="2:5" ht="33.75" customHeight="1">
      <c r="B540" s="60">
        <v>538</v>
      </c>
      <c r="C540" s="61" t="s">
        <v>1391</v>
      </c>
      <c r="D540" s="62" t="s">
        <v>1392</v>
      </c>
      <c r="E540" s="63" t="s">
        <v>1393</v>
      </c>
    </row>
    <row r="541" spans="2:5" ht="33.75" customHeight="1">
      <c r="B541" s="60">
        <v>539</v>
      </c>
      <c r="C541" s="61" t="s">
        <v>1394</v>
      </c>
      <c r="D541" s="62" t="s">
        <v>1395</v>
      </c>
      <c r="E541" s="63" t="s">
        <v>1396</v>
      </c>
    </row>
    <row r="542" spans="2:5" ht="33.75" customHeight="1">
      <c r="B542" s="60">
        <v>540</v>
      </c>
      <c r="C542" s="61" t="s">
        <v>1397</v>
      </c>
      <c r="D542" s="62" t="s">
        <v>1398</v>
      </c>
      <c r="E542" s="63" t="s">
        <v>1399</v>
      </c>
    </row>
    <row r="543" spans="2:5" ht="33.75" customHeight="1">
      <c r="B543" s="60">
        <v>541</v>
      </c>
      <c r="C543" s="61" t="s">
        <v>1400</v>
      </c>
      <c r="D543" s="62" t="s">
        <v>1401</v>
      </c>
      <c r="E543" s="63" t="s">
        <v>1402</v>
      </c>
    </row>
    <row r="544" spans="2:5" ht="33.75" customHeight="1">
      <c r="B544" s="60">
        <v>542</v>
      </c>
      <c r="C544" s="61" t="s">
        <v>1403</v>
      </c>
      <c r="D544" s="62" t="s">
        <v>1404</v>
      </c>
      <c r="E544" s="63" t="s">
        <v>1405</v>
      </c>
    </row>
    <row r="545" spans="2:5" ht="33.75" customHeight="1">
      <c r="B545" s="60">
        <v>543</v>
      </c>
      <c r="C545" s="61" t="s">
        <v>1406</v>
      </c>
      <c r="D545" s="62" t="s">
        <v>1407</v>
      </c>
      <c r="E545" s="64" t="s">
        <v>1408</v>
      </c>
    </row>
    <row r="546" spans="2:5" ht="33.75" customHeight="1">
      <c r="B546" s="60">
        <v>544</v>
      </c>
      <c r="C546" s="61" t="s">
        <v>1409</v>
      </c>
      <c r="D546" s="65" t="s">
        <v>1410</v>
      </c>
      <c r="E546" s="64" t="s">
        <v>1411</v>
      </c>
    </row>
    <row r="547" spans="2:5" ht="33.75" customHeight="1">
      <c r="B547" s="60">
        <v>545</v>
      </c>
      <c r="C547" s="61" t="s">
        <v>1412</v>
      </c>
      <c r="D547" s="62" t="s">
        <v>1413</v>
      </c>
      <c r="E547" s="64" t="s">
        <v>1414</v>
      </c>
    </row>
    <row r="548" spans="2:5" ht="33.75" customHeight="1">
      <c r="B548" s="60">
        <v>546</v>
      </c>
      <c r="C548" s="61" t="s">
        <v>1415</v>
      </c>
      <c r="D548" s="62" t="s">
        <v>1416</v>
      </c>
      <c r="E548" s="64" t="s">
        <v>1414</v>
      </c>
    </row>
    <row r="549" spans="2:5" ht="33.75" customHeight="1">
      <c r="B549" s="60">
        <v>547</v>
      </c>
      <c r="C549" s="61" t="s">
        <v>1417</v>
      </c>
      <c r="D549" s="62" t="s">
        <v>1418</v>
      </c>
      <c r="E549" s="64" t="s">
        <v>1419</v>
      </c>
    </row>
    <row r="550" spans="2:5" ht="33.75" customHeight="1">
      <c r="B550" s="60">
        <v>548</v>
      </c>
      <c r="C550" s="61" t="s">
        <v>1420</v>
      </c>
      <c r="D550" s="62" t="s">
        <v>1421</v>
      </c>
      <c r="E550" s="63" t="s">
        <v>1422</v>
      </c>
    </row>
    <row r="551" spans="2:5" ht="33.75" customHeight="1">
      <c r="B551" s="60">
        <v>549</v>
      </c>
      <c r="C551" s="61" t="s">
        <v>1423</v>
      </c>
      <c r="D551" s="62" t="s">
        <v>1424</v>
      </c>
      <c r="E551" s="63" t="s">
        <v>1425</v>
      </c>
    </row>
    <row r="552" spans="2:5" ht="33.75" customHeight="1">
      <c r="B552" s="60">
        <v>550</v>
      </c>
      <c r="C552" s="61" t="s">
        <v>1426</v>
      </c>
      <c r="D552" s="62" t="s">
        <v>1427</v>
      </c>
      <c r="E552" s="63"/>
    </row>
    <row r="553" spans="2:5" ht="33.75" customHeight="1">
      <c r="B553" s="60">
        <v>551</v>
      </c>
      <c r="C553" s="61" t="s">
        <v>1428</v>
      </c>
      <c r="D553" s="62" t="s">
        <v>1429</v>
      </c>
      <c r="E553" s="63" t="s">
        <v>1430</v>
      </c>
    </row>
    <row r="554" spans="2:5" ht="33.75" customHeight="1">
      <c r="B554" s="60">
        <v>552</v>
      </c>
      <c r="C554" s="61" t="s">
        <v>1431</v>
      </c>
      <c r="D554" s="62" t="s">
        <v>1432</v>
      </c>
      <c r="E554" s="63" t="s">
        <v>1430</v>
      </c>
    </row>
    <row r="555" spans="2:5" ht="33.75" customHeight="1">
      <c r="B555" s="60">
        <v>553</v>
      </c>
      <c r="C555" s="61" t="s">
        <v>1433</v>
      </c>
      <c r="D555" s="62" t="s">
        <v>1434</v>
      </c>
      <c r="E555" s="63"/>
    </row>
    <row r="556" spans="2:5" ht="33.75" customHeight="1">
      <c r="B556" s="60">
        <v>554</v>
      </c>
      <c r="C556" s="61" t="s">
        <v>1435</v>
      </c>
      <c r="D556" s="62" t="s">
        <v>1436</v>
      </c>
      <c r="E556" s="63" t="s">
        <v>1437</v>
      </c>
    </row>
    <row r="557" spans="2:5" ht="33.75" customHeight="1">
      <c r="B557" s="60">
        <v>555</v>
      </c>
      <c r="C557" s="61" t="s">
        <v>1438</v>
      </c>
      <c r="D557" s="62" t="s">
        <v>1439</v>
      </c>
      <c r="E557" s="63"/>
    </row>
    <row r="558" spans="2:5" ht="33.75" customHeight="1">
      <c r="B558" s="60">
        <v>556</v>
      </c>
      <c r="C558" s="61" t="s">
        <v>1440</v>
      </c>
      <c r="D558" s="62" t="s">
        <v>1441</v>
      </c>
      <c r="E558" s="63"/>
    </row>
    <row r="559" spans="2:5" ht="33.75" customHeight="1">
      <c r="B559" s="60">
        <v>557</v>
      </c>
      <c r="C559" s="61" t="s">
        <v>1442</v>
      </c>
      <c r="D559" s="62" t="s">
        <v>1443</v>
      </c>
      <c r="E559" s="63"/>
    </row>
    <row r="560" spans="2:5" ht="33.75" customHeight="1">
      <c r="B560" s="60">
        <v>558</v>
      </c>
      <c r="C560" s="61" t="s">
        <v>1444</v>
      </c>
      <c r="D560" s="62" t="s">
        <v>1445</v>
      </c>
      <c r="E560" s="63"/>
    </row>
    <row r="561" spans="2:5" ht="33.75" customHeight="1">
      <c r="B561" s="60">
        <v>559</v>
      </c>
      <c r="C561" s="61" t="s">
        <v>1446</v>
      </c>
      <c r="D561" s="62" t="s">
        <v>1447</v>
      </c>
      <c r="E561" s="63" t="s">
        <v>1448</v>
      </c>
    </row>
    <row r="562" spans="2:5" ht="33.75" customHeight="1">
      <c r="B562" s="60">
        <v>560</v>
      </c>
      <c r="C562" s="61" t="s">
        <v>1449</v>
      </c>
      <c r="D562" s="62" t="s">
        <v>1450</v>
      </c>
      <c r="E562" s="63"/>
    </row>
    <row r="563" spans="2:5" ht="33.75" customHeight="1">
      <c r="B563" s="60">
        <v>561</v>
      </c>
      <c r="C563" s="61" t="s">
        <v>1451</v>
      </c>
      <c r="D563" s="62" t="s">
        <v>1452</v>
      </c>
      <c r="E563" s="63"/>
    </row>
    <row r="564" spans="2:5" ht="33.75" customHeight="1">
      <c r="B564" s="60">
        <v>562</v>
      </c>
      <c r="C564" s="61" t="s">
        <v>1453</v>
      </c>
      <c r="D564" s="62" t="s">
        <v>1454</v>
      </c>
      <c r="E564" s="63"/>
    </row>
    <row r="565" spans="2:5" ht="33.75" customHeight="1">
      <c r="B565" s="60">
        <v>563</v>
      </c>
      <c r="C565" s="61" t="s">
        <v>1455</v>
      </c>
      <c r="D565" s="62" t="s">
        <v>1456</v>
      </c>
      <c r="E565" s="63" t="s">
        <v>1457</v>
      </c>
    </row>
    <row r="566" spans="2:5" ht="33.75" customHeight="1">
      <c r="B566" s="60">
        <v>564</v>
      </c>
      <c r="C566" s="61" t="s">
        <v>1458</v>
      </c>
      <c r="D566" s="62" t="s">
        <v>1459</v>
      </c>
      <c r="E566" s="63"/>
    </row>
    <row r="567" spans="2:5" ht="33.75" customHeight="1">
      <c r="B567" s="60">
        <v>565</v>
      </c>
      <c r="C567" s="61" t="s">
        <v>1460</v>
      </c>
      <c r="D567" s="62" t="s">
        <v>1461</v>
      </c>
      <c r="E567" s="63"/>
    </row>
    <row r="568" spans="2:5" ht="33.75" customHeight="1">
      <c r="B568" s="60">
        <v>566</v>
      </c>
      <c r="C568" s="61" t="s">
        <v>1462</v>
      </c>
      <c r="D568" s="62" t="s">
        <v>1463</v>
      </c>
      <c r="E568" s="63" t="s">
        <v>1464</v>
      </c>
    </row>
    <row r="569" spans="2:5" ht="33.75" customHeight="1">
      <c r="B569" s="60">
        <v>567</v>
      </c>
      <c r="C569" s="61" t="s">
        <v>1465</v>
      </c>
      <c r="D569" s="62" t="s">
        <v>1466</v>
      </c>
      <c r="E569" s="63"/>
    </row>
    <row r="570" spans="2:5" ht="33.75" customHeight="1">
      <c r="B570" s="60">
        <v>568</v>
      </c>
      <c r="C570" s="61" t="s">
        <v>1467</v>
      </c>
      <c r="D570" s="62" t="s">
        <v>1468</v>
      </c>
      <c r="E570" s="63" t="s">
        <v>1469</v>
      </c>
    </row>
    <row r="571" spans="2:5" ht="33.75" customHeight="1">
      <c r="B571" s="60">
        <v>569</v>
      </c>
      <c r="C571" s="61" t="s">
        <v>1470</v>
      </c>
      <c r="D571" s="62" t="s">
        <v>1471</v>
      </c>
      <c r="E571" s="63"/>
    </row>
    <row r="572" spans="2:5" ht="33.75" customHeight="1">
      <c r="B572" s="60">
        <v>570</v>
      </c>
      <c r="C572" s="61" t="s">
        <v>1472</v>
      </c>
      <c r="D572" s="62" t="s">
        <v>1473</v>
      </c>
      <c r="E572" s="63" t="s">
        <v>1474</v>
      </c>
    </row>
    <row r="573" spans="2:5" ht="33.75" customHeight="1">
      <c r="B573" s="60">
        <v>571</v>
      </c>
      <c r="C573" s="61" t="s">
        <v>1475</v>
      </c>
      <c r="D573" s="62" t="s">
        <v>1476</v>
      </c>
      <c r="E573" s="63"/>
    </row>
    <row r="574" spans="2:5" ht="33.75" customHeight="1">
      <c r="B574" s="60">
        <v>572</v>
      </c>
      <c r="C574" s="61" t="s">
        <v>1477</v>
      </c>
      <c r="D574" s="62" t="s">
        <v>1478</v>
      </c>
      <c r="E574" s="63"/>
    </row>
    <row r="575" spans="2:5" ht="33.75" customHeight="1">
      <c r="B575" s="60">
        <v>573</v>
      </c>
      <c r="C575" s="61" t="s">
        <v>1479</v>
      </c>
      <c r="D575" s="62" t="s">
        <v>1480</v>
      </c>
      <c r="E575" s="63" t="s">
        <v>1481</v>
      </c>
    </row>
    <row r="576" spans="2:5" ht="33.75" customHeight="1">
      <c r="B576" s="60">
        <v>574</v>
      </c>
      <c r="C576" s="61" t="s">
        <v>1482</v>
      </c>
      <c r="D576" s="62" t="s">
        <v>1483</v>
      </c>
      <c r="E576" s="63"/>
    </row>
    <row r="577" spans="2:5" ht="33.75" customHeight="1">
      <c r="B577" s="60">
        <v>575</v>
      </c>
      <c r="C577" s="61" t="s">
        <v>1484</v>
      </c>
      <c r="D577" s="62" t="s">
        <v>1485</v>
      </c>
      <c r="E577" s="63"/>
    </row>
    <row r="578" spans="2:5" ht="33.75" customHeight="1">
      <c r="B578" s="60">
        <v>576</v>
      </c>
      <c r="C578" s="61" t="s">
        <v>1486</v>
      </c>
      <c r="D578" s="62" t="s">
        <v>1487</v>
      </c>
      <c r="E578" s="63"/>
    </row>
    <row r="579" spans="2:5" ht="33.75" customHeight="1">
      <c r="B579" s="60">
        <v>577</v>
      </c>
      <c r="C579" s="61" t="s">
        <v>1488</v>
      </c>
      <c r="D579" s="62" t="s">
        <v>1489</v>
      </c>
      <c r="E579" s="63"/>
    </row>
    <row r="580" spans="2:5" ht="33.75" customHeight="1">
      <c r="B580" s="60">
        <v>578</v>
      </c>
      <c r="C580" s="61" t="s">
        <v>1490</v>
      </c>
      <c r="D580" s="62" t="s">
        <v>1491</v>
      </c>
      <c r="E580" s="63" t="s">
        <v>1492</v>
      </c>
    </row>
    <row r="581" spans="2:5" ht="33.75" customHeight="1">
      <c r="B581" s="60">
        <v>579</v>
      </c>
      <c r="C581" s="61" t="s">
        <v>1493</v>
      </c>
      <c r="D581" s="62" t="s">
        <v>1494</v>
      </c>
      <c r="E581" s="63"/>
    </row>
    <row r="582" spans="2:5" ht="33.75" customHeight="1">
      <c r="B582" s="60">
        <v>580</v>
      </c>
      <c r="C582" s="61" t="s">
        <v>1495</v>
      </c>
      <c r="D582" s="62" t="s">
        <v>1496</v>
      </c>
      <c r="E582" s="63"/>
    </row>
    <row r="583" spans="2:5" ht="33.75" customHeight="1">
      <c r="B583" s="60">
        <v>581</v>
      </c>
      <c r="C583" s="61" t="s">
        <v>1497</v>
      </c>
      <c r="D583" s="62" t="s">
        <v>1498</v>
      </c>
      <c r="E583" s="63"/>
    </row>
    <row r="584" spans="2:5" ht="33.75" customHeight="1">
      <c r="B584" s="60">
        <v>582</v>
      </c>
      <c r="C584" s="61" t="s">
        <v>1499</v>
      </c>
      <c r="D584" s="62" t="s">
        <v>1500</v>
      </c>
      <c r="E584" s="63" t="s">
        <v>1501</v>
      </c>
    </row>
    <row r="585" spans="2:5" ht="33.75" customHeight="1">
      <c r="B585" s="60">
        <v>583</v>
      </c>
      <c r="C585" s="61" t="s">
        <v>1502</v>
      </c>
      <c r="D585" s="62" t="s">
        <v>1503</v>
      </c>
      <c r="E585" s="63"/>
    </row>
    <row r="586" spans="2:5" ht="33.75" customHeight="1">
      <c r="B586" s="60">
        <v>584</v>
      </c>
      <c r="C586" s="61" t="s">
        <v>1504</v>
      </c>
      <c r="D586" s="62" t="s">
        <v>1505</v>
      </c>
      <c r="E586" s="63" t="s">
        <v>1506</v>
      </c>
    </row>
    <row r="587" spans="2:5" ht="33.75" customHeight="1">
      <c r="B587" s="60">
        <v>585</v>
      </c>
      <c r="C587" s="61" t="s">
        <v>1507</v>
      </c>
      <c r="D587" s="62" t="s">
        <v>1508</v>
      </c>
      <c r="E587" s="63"/>
    </row>
    <row r="588" spans="2:5" ht="33.75" customHeight="1">
      <c r="B588" s="60">
        <v>586</v>
      </c>
      <c r="C588" s="61" t="s">
        <v>1509</v>
      </c>
      <c r="D588" s="62" t="s">
        <v>1510</v>
      </c>
      <c r="E588" s="63"/>
    </row>
    <row r="589" spans="2:5" ht="33.75" customHeight="1">
      <c r="B589" s="60">
        <v>587</v>
      </c>
      <c r="C589" s="61" t="s">
        <v>1511</v>
      </c>
      <c r="D589" s="62" t="s">
        <v>1512</v>
      </c>
      <c r="E589" s="63"/>
    </row>
    <row r="590" spans="2:5" ht="33.75" customHeight="1">
      <c r="B590" s="60">
        <v>588</v>
      </c>
      <c r="C590" s="61" t="s">
        <v>1513</v>
      </c>
      <c r="D590" s="62" t="s">
        <v>1514</v>
      </c>
      <c r="E590" s="63" t="s">
        <v>1515</v>
      </c>
    </row>
    <row r="591" spans="2:5" ht="33.75" customHeight="1">
      <c r="B591" s="60">
        <v>589</v>
      </c>
      <c r="C591" s="61" t="s">
        <v>1516</v>
      </c>
      <c r="D591" s="62" t="s">
        <v>1517</v>
      </c>
      <c r="E591" s="63" t="s">
        <v>1518</v>
      </c>
    </row>
    <row r="592" spans="2:5" ht="33.75" customHeight="1">
      <c r="B592" s="60">
        <v>590</v>
      </c>
      <c r="C592" s="61" t="s">
        <v>1519</v>
      </c>
      <c r="D592" s="62" t="s">
        <v>1520</v>
      </c>
      <c r="E592" s="63"/>
    </row>
    <row r="593" spans="2:5" ht="33.75" customHeight="1">
      <c r="B593" s="60">
        <v>591</v>
      </c>
      <c r="C593" s="61" t="s">
        <v>1521</v>
      </c>
      <c r="D593" s="62" t="s">
        <v>1522</v>
      </c>
      <c r="E593" s="63" t="s">
        <v>1523</v>
      </c>
    </row>
    <row r="594" spans="2:5" ht="33.75" customHeight="1">
      <c r="B594" s="60">
        <v>592</v>
      </c>
      <c r="C594" s="61" t="s">
        <v>1524</v>
      </c>
      <c r="D594" s="62" t="s">
        <v>1525</v>
      </c>
      <c r="E594" s="63"/>
    </row>
    <row r="595" spans="2:5" ht="33.75" customHeight="1">
      <c r="B595" s="60">
        <v>593</v>
      </c>
      <c r="C595" s="61" t="s">
        <v>1526</v>
      </c>
      <c r="D595" s="62" t="s">
        <v>1527</v>
      </c>
      <c r="E595" s="63" t="s">
        <v>1528</v>
      </c>
    </row>
    <row r="596" spans="2:5" ht="33.75" customHeight="1">
      <c r="B596" s="60">
        <v>594</v>
      </c>
      <c r="C596" s="61" t="s">
        <v>1529</v>
      </c>
      <c r="D596" s="62" t="s">
        <v>1530</v>
      </c>
      <c r="E596" s="63"/>
    </row>
    <row r="597" spans="2:5" ht="33.75" customHeight="1">
      <c r="B597" s="60">
        <v>595</v>
      </c>
      <c r="C597" s="61" t="s">
        <v>1531</v>
      </c>
      <c r="D597" s="62" t="s">
        <v>1532</v>
      </c>
      <c r="E597" s="63"/>
    </row>
    <row r="598" spans="2:5" ht="33.75" customHeight="1">
      <c r="B598" s="60">
        <v>596</v>
      </c>
      <c r="C598" s="61" t="s">
        <v>1533</v>
      </c>
      <c r="D598" s="62" t="s">
        <v>1534</v>
      </c>
      <c r="E598" s="63" t="s">
        <v>1535</v>
      </c>
    </row>
    <row r="599" spans="2:5" ht="33.75" customHeight="1">
      <c r="B599" s="60">
        <v>597</v>
      </c>
      <c r="C599" s="61" t="s">
        <v>1536</v>
      </c>
      <c r="D599" s="62" t="s">
        <v>1537</v>
      </c>
      <c r="E599" s="63"/>
    </row>
    <row r="600" spans="2:5" ht="33.75" customHeight="1">
      <c r="B600" s="60">
        <v>598</v>
      </c>
      <c r="C600" s="61" t="s">
        <v>1538</v>
      </c>
      <c r="D600" s="62" t="s">
        <v>1539</v>
      </c>
      <c r="E600" s="63"/>
    </row>
    <row r="601" spans="2:5" ht="33.75" customHeight="1">
      <c r="B601" s="60">
        <v>599</v>
      </c>
      <c r="C601" s="61" t="s">
        <v>1540</v>
      </c>
      <c r="D601" s="62" t="s">
        <v>1541</v>
      </c>
      <c r="E601" s="63" t="s">
        <v>1542</v>
      </c>
    </row>
    <row r="602" spans="2:5" ht="33.75" customHeight="1">
      <c r="B602" s="60">
        <v>600</v>
      </c>
      <c r="C602" s="61" t="s">
        <v>1543</v>
      </c>
      <c r="D602" s="62" t="s">
        <v>1544</v>
      </c>
      <c r="E602" s="63" t="s">
        <v>1545</v>
      </c>
    </row>
    <row r="603" spans="2:5" ht="33.75" customHeight="1">
      <c r="B603" s="60">
        <v>601</v>
      </c>
      <c r="C603" s="61" t="s">
        <v>1546</v>
      </c>
      <c r="D603" s="62" t="s">
        <v>1547</v>
      </c>
      <c r="E603" s="63" t="s">
        <v>1548</v>
      </c>
    </row>
    <row r="604" spans="2:5" ht="33.75" customHeight="1">
      <c r="B604" s="60">
        <v>602</v>
      </c>
      <c r="C604" s="61" t="s">
        <v>1549</v>
      </c>
      <c r="D604" s="62" t="s">
        <v>1550</v>
      </c>
      <c r="E604" s="63"/>
    </row>
    <row r="605" spans="2:5" ht="33.75" customHeight="1">
      <c r="B605" s="60">
        <v>603</v>
      </c>
      <c r="C605" s="61" t="s">
        <v>1551</v>
      </c>
      <c r="D605" s="62" t="s">
        <v>1552</v>
      </c>
      <c r="E605" s="63"/>
    </row>
    <row r="606" spans="2:5" ht="33.75" customHeight="1">
      <c r="B606" s="60">
        <v>604</v>
      </c>
      <c r="C606" s="61" t="s">
        <v>1553</v>
      </c>
      <c r="D606" s="62" t="s">
        <v>1554</v>
      </c>
      <c r="E606" s="63"/>
    </row>
    <row r="607" spans="2:5" ht="33.75" customHeight="1">
      <c r="B607" s="60">
        <v>605</v>
      </c>
      <c r="C607" s="61" t="s">
        <v>1555</v>
      </c>
      <c r="D607" s="62" t="s">
        <v>1556</v>
      </c>
      <c r="E607" s="63"/>
    </row>
    <row r="608" spans="2:5" ht="33.75" customHeight="1">
      <c r="B608" s="60">
        <v>606</v>
      </c>
      <c r="C608" s="61" t="s">
        <v>1557</v>
      </c>
      <c r="D608" s="62" t="s">
        <v>1558</v>
      </c>
      <c r="E608" s="63" t="s">
        <v>1559</v>
      </c>
    </row>
    <row r="609" spans="2:5" ht="33.75" customHeight="1">
      <c r="B609" s="60">
        <v>607</v>
      </c>
      <c r="C609" s="61" t="s">
        <v>1560</v>
      </c>
      <c r="D609" s="62" t="s">
        <v>1561</v>
      </c>
      <c r="E609" s="63"/>
    </row>
    <row r="610" spans="2:5" ht="33.75" customHeight="1">
      <c r="B610" s="60">
        <v>608</v>
      </c>
      <c r="C610" s="61" t="s">
        <v>1562</v>
      </c>
      <c r="D610" s="62" t="s">
        <v>1563</v>
      </c>
      <c r="E610" s="63" t="s">
        <v>1564</v>
      </c>
    </row>
    <row r="611" spans="2:5" ht="33.75" customHeight="1">
      <c r="B611" s="60">
        <v>609</v>
      </c>
      <c r="C611" s="61" t="s">
        <v>1565</v>
      </c>
      <c r="D611" s="62" t="s">
        <v>1566</v>
      </c>
      <c r="E611" s="63" t="s">
        <v>1567</v>
      </c>
    </row>
    <row r="612" spans="2:5" ht="33.75" customHeight="1">
      <c r="B612" s="60">
        <v>610</v>
      </c>
      <c r="C612" s="61" t="s">
        <v>1568</v>
      </c>
      <c r="D612" s="62" t="s">
        <v>1569</v>
      </c>
      <c r="E612" s="63"/>
    </row>
    <row r="613" spans="2:5" ht="33.75" customHeight="1">
      <c r="B613" s="60">
        <v>611</v>
      </c>
      <c r="C613" s="61" t="s">
        <v>1570</v>
      </c>
      <c r="D613" s="62" t="s">
        <v>1571</v>
      </c>
      <c r="E613" s="63"/>
    </row>
    <row r="614" spans="2:5" ht="33.75" customHeight="1">
      <c r="B614" s="60">
        <v>612</v>
      </c>
      <c r="C614" s="61" t="s">
        <v>1572</v>
      </c>
      <c r="D614" s="62" t="s">
        <v>1573</v>
      </c>
      <c r="E614" s="63" t="s">
        <v>1574</v>
      </c>
    </row>
    <row r="615" spans="2:5" ht="33.75" customHeight="1">
      <c r="B615" s="60">
        <v>613</v>
      </c>
      <c r="C615" s="61" t="s">
        <v>1575</v>
      </c>
      <c r="D615" s="62" t="s">
        <v>1576</v>
      </c>
      <c r="E615" s="63"/>
    </row>
    <row r="616" spans="2:5" ht="33.75" customHeight="1">
      <c r="B616" s="60">
        <v>614</v>
      </c>
      <c r="C616" s="61" t="s">
        <v>1577</v>
      </c>
      <c r="D616" s="62" t="s">
        <v>1578</v>
      </c>
      <c r="E616" s="63"/>
    </row>
    <row r="617" spans="2:5" ht="33.75" customHeight="1">
      <c r="B617" s="60">
        <v>615</v>
      </c>
      <c r="C617" s="61" t="s">
        <v>1579</v>
      </c>
      <c r="D617" s="62" t="s">
        <v>1580</v>
      </c>
      <c r="E617" s="63"/>
    </row>
    <row r="618" spans="2:5" ht="33.75" customHeight="1">
      <c r="B618" s="60">
        <v>616</v>
      </c>
      <c r="C618" s="61" t="s">
        <v>1581</v>
      </c>
      <c r="D618" s="62" t="s">
        <v>1582</v>
      </c>
      <c r="E618" s="63" t="s">
        <v>1583</v>
      </c>
    </row>
    <row r="619" spans="2:5" ht="33.75" customHeight="1">
      <c r="B619" s="60">
        <v>617</v>
      </c>
      <c r="C619" s="61" t="s">
        <v>1584</v>
      </c>
      <c r="D619" s="62" t="s">
        <v>1585</v>
      </c>
      <c r="E619" s="63"/>
    </row>
    <row r="620" spans="2:5" ht="33.75" customHeight="1">
      <c r="B620" s="60">
        <v>618</v>
      </c>
      <c r="C620" s="61" t="s">
        <v>1586</v>
      </c>
      <c r="D620" s="62" t="s">
        <v>1587</v>
      </c>
      <c r="E620" s="63"/>
    </row>
    <row r="621" spans="2:5" ht="33.75" customHeight="1">
      <c r="B621" s="60">
        <v>619</v>
      </c>
      <c r="C621" s="61" t="s">
        <v>1588</v>
      </c>
      <c r="D621" s="62" t="s">
        <v>1589</v>
      </c>
      <c r="E621" s="63" t="s">
        <v>1590</v>
      </c>
    </row>
    <row r="622" spans="2:5" ht="33.75" customHeight="1">
      <c r="B622" s="60">
        <v>620</v>
      </c>
      <c r="C622" s="61" t="s">
        <v>1591</v>
      </c>
      <c r="D622" s="62" t="s">
        <v>1592</v>
      </c>
      <c r="E622" s="63"/>
    </row>
    <row r="623" spans="2:5" ht="33.75" customHeight="1">
      <c r="B623" s="60">
        <v>621</v>
      </c>
      <c r="C623" s="61" t="s">
        <v>1593</v>
      </c>
      <c r="D623" s="62" t="s">
        <v>1594</v>
      </c>
      <c r="E623" s="63"/>
    </row>
    <row r="624" spans="2:5" ht="33.75" customHeight="1">
      <c r="B624" s="60">
        <v>622</v>
      </c>
      <c r="C624" s="61" t="s">
        <v>1595</v>
      </c>
      <c r="D624" s="62" t="s">
        <v>1596</v>
      </c>
      <c r="E624" s="63"/>
    </row>
    <row r="625" spans="2:5" ht="33.75" customHeight="1">
      <c r="B625" s="60">
        <v>623</v>
      </c>
      <c r="C625" s="61" t="s">
        <v>1597</v>
      </c>
      <c r="D625" s="62" t="s">
        <v>1598</v>
      </c>
      <c r="E625" s="63" t="s">
        <v>1599</v>
      </c>
    </row>
    <row r="626" spans="2:5" ht="33.75" customHeight="1">
      <c r="B626" s="60">
        <v>624</v>
      </c>
      <c r="C626" s="61" t="s">
        <v>1600</v>
      </c>
      <c r="D626" s="62" t="s">
        <v>1601</v>
      </c>
      <c r="E626" s="63" t="s">
        <v>1602</v>
      </c>
    </row>
    <row r="627" spans="2:5" ht="33.75" customHeight="1">
      <c r="B627" s="60">
        <v>625</v>
      </c>
      <c r="C627" s="61" t="s">
        <v>1603</v>
      </c>
      <c r="D627" s="62" t="s">
        <v>1604</v>
      </c>
      <c r="E627" s="63"/>
    </row>
    <row r="628" spans="2:5" ht="33.75" customHeight="1">
      <c r="B628" s="60">
        <v>626</v>
      </c>
      <c r="C628" s="61" t="s">
        <v>1605</v>
      </c>
      <c r="D628" s="62" t="s">
        <v>1606</v>
      </c>
      <c r="E628" s="63"/>
    </row>
    <row r="629" spans="2:5" ht="33.75" customHeight="1">
      <c r="B629" s="60">
        <v>627</v>
      </c>
      <c r="C629" s="61" t="s">
        <v>1607</v>
      </c>
      <c r="D629" s="62" t="s">
        <v>1608</v>
      </c>
      <c r="E629" s="63"/>
    </row>
    <row r="630" spans="2:5" ht="33.75" customHeight="1">
      <c r="B630" s="60">
        <v>628</v>
      </c>
      <c r="C630" s="61" t="s">
        <v>1609</v>
      </c>
      <c r="D630" s="62" t="s">
        <v>1610</v>
      </c>
      <c r="E630" s="63" t="s">
        <v>1611</v>
      </c>
    </row>
    <row r="631" spans="2:5" ht="33.75" customHeight="1">
      <c r="B631" s="60">
        <v>629</v>
      </c>
      <c r="C631" s="61" t="s">
        <v>1612</v>
      </c>
      <c r="D631" s="62" t="s">
        <v>1613</v>
      </c>
      <c r="E631" s="63"/>
    </row>
    <row r="632" spans="2:5" ht="33.75" customHeight="1">
      <c r="B632" s="60">
        <v>630</v>
      </c>
      <c r="C632" s="61" t="s">
        <v>1614</v>
      </c>
      <c r="D632" s="62" t="s">
        <v>1615</v>
      </c>
      <c r="E632" s="63" t="s">
        <v>1616</v>
      </c>
    </row>
    <row r="633" spans="2:5" ht="33.75" customHeight="1">
      <c r="B633" s="60">
        <v>631</v>
      </c>
      <c r="C633" s="61" t="s">
        <v>1617</v>
      </c>
      <c r="D633" s="62" t="s">
        <v>1618</v>
      </c>
      <c r="E633" s="63"/>
    </row>
    <row r="634" spans="2:5" ht="33.75" customHeight="1">
      <c r="B634" s="60">
        <v>632</v>
      </c>
      <c r="C634" s="61" t="s">
        <v>1619</v>
      </c>
      <c r="D634" s="62" t="s">
        <v>1620</v>
      </c>
      <c r="E634" s="63"/>
    </row>
    <row r="635" spans="2:5" ht="33.75" customHeight="1">
      <c r="B635" s="60">
        <v>633</v>
      </c>
      <c r="C635" s="61" t="s">
        <v>1621</v>
      </c>
      <c r="D635" s="62" t="s">
        <v>1622</v>
      </c>
      <c r="E635" s="63"/>
    </row>
    <row r="636" spans="2:5" ht="33.75" customHeight="1">
      <c r="B636" s="60">
        <v>634</v>
      </c>
      <c r="C636" s="61" t="s">
        <v>1623</v>
      </c>
      <c r="D636" s="62" t="s">
        <v>1624</v>
      </c>
      <c r="E636" s="63"/>
    </row>
    <row r="637" spans="2:5" ht="33.75" customHeight="1">
      <c r="B637" s="60">
        <v>635</v>
      </c>
      <c r="C637" s="61" t="s">
        <v>1625</v>
      </c>
      <c r="D637" s="62" t="s">
        <v>1626</v>
      </c>
      <c r="E637" s="63"/>
    </row>
    <row r="638" spans="2:5" ht="33.75" customHeight="1">
      <c r="B638" s="60">
        <v>636</v>
      </c>
      <c r="C638" s="61" t="s">
        <v>1627</v>
      </c>
      <c r="D638" s="62" t="s">
        <v>1628</v>
      </c>
      <c r="E638" s="63" t="s">
        <v>1629</v>
      </c>
    </row>
    <row r="639" spans="2:5" ht="33.75" customHeight="1">
      <c r="B639" s="60">
        <v>637</v>
      </c>
      <c r="C639" s="61" t="s">
        <v>1630</v>
      </c>
      <c r="D639" s="62" t="s">
        <v>1631</v>
      </c>
      <c r="E639" s="63"/>
    </row>
    <row r="640" spans="2:5" ht="33.75" customHeight="1">
      <c r="B640" s="60">
        <v>638</v>
      </c>
      <c r="C640" s="61" t="s">
        <v>1632</v>
      </c>
      <c r="D640" s="62" t="s">
        <v>1633</v>
      </c>
      <c r="E640" s="63"/>
    </row>
    <row r="641" spans="2:5" ht="33.75" customHeight="1">
      <c r="B641" s="60">
        <v>639</v>
      </c>
      <c r="C641" s="61" t="s">
        <v>1634</v>
      </c>
      <c r="D641" s="62" t="s">
        <v>1635</v>
      </c>
      <c r="E641" s="63"/>
    </row>
    <row r="642" spans="2:5" ht="33.75" customHeight="1">
      <c r="B642" s="60">
        <v>640</v>
      </c>
      <c r="C642" s="61" t="s">
        <v>1636</v>
      </c>
      <c r="D642" s="62" t="s">
        <v>1637</v>
      </c>
      <c r="E642" s="63"/>
    </row>
    <row r="643" spans="2:5" ht="33.75" customHeight="1">
      <c r="B643" s="60">
        <v>641</v>
      </c>
      <c r="C643" s="61" t="s">
        <v>1638</v>
      </c>
      <c r="D643" s="62" t="s">
        <v>1639</v>
      </c>
      <c r="E643" s="63" t="s">
        <v>1640</v>
      </c>
    </row>
    <row r="644" spans="2:5" ht="33.75" customHeight="1">
      <c r="B644" s="60">
        <v>642</v>
      </c>
      <c r="C644" s="61" t="s">
        <v>1641</v>
      </c>
      <c r="D644" s="62" t="s">
        <v>1642</v>
      </c>
      <c r="E644" s="63"/>
    </row>
    <row r="645" spans="2:5" ht="33.75" customHeight="1">
      <c r="B645" s="60">
        <v>643</v>
      </c>
      <c r="C645" s="61" t="s">
        <v>1643</v>
      </c>
      <c r="D645" s="62" t="s">
        <v>1644</v>
      </c>
      <c r="E645" s="63"/>
    </row>
    <row r="646" spans="2:5" ht="33.75" customHeight="1">
      <c r="B646" s="60">
        <v>644</v>
      </c>
      <c r="C646" s="61" t="s">
        <v>1645</v>
      </c>
      <c r="D646" s="65" t="s">
        <v>1646</v>
      </c>
      <c r="E646" s="63"/>
    </row>
    <row r="647" spans="2:5" ht="33.75" customHeight="1">
      <c r="B647" s="60">
        <v>645</v>
      </c>
      <c r="C647" s="61" t="s">
        <v>1647</v>
      </c>
      <c r="D647" s="65" t="s">
        <v>1648</v>
      </c>
      <c r="E647" s="63"/>
    </row>
    <row r="648" spans="2:5" ht="33.75" customHeight="1">
      <c r="B648" s="60">
        <v>646</v>
      </c>
      <c r="C648" s="61" t="s">
        <v>1649</v>
      </c>
      <c r="D648" s="65" t="s">
        <v>1650</v>
      </c>
      <c r="E648" s="63" t="s">
        <v>1651</v>
      </c>
    </row>
    <row r="649" spans="2:5" ht="33.75" customHeight="1">
      <c r="B649" s="60">
        <v>647</v>
      </c>
      <c r="C649" s="61" t="s">
        <v>1652</v>
      </c>
      <c r="D649" s="62" t="s">
        <v>1653</v>
      </c>
      <c r="E649" s="63"/>
    </row>
    <row r="650" spans="2:5" ht="33.75" customHeight="1">
      <c r="B650" s="60">
        <v>648</v>
      </c>
      <c r="C650" s="61" t="s">
        <v>1654</v>
      </c>
      <c r="D650" s="62" t="s">
        <v>1655</v>
      </c>
      <c r="E650" s="63" t="s">
        <v>1656</v>
      </c>
    </row>
    <row r="651" spans="2:5" ht="33.75" customHeight="1">
      <c r="B651" s="60">
        <v>649</v>
      </c>
      <c r="C651" s="61" t="s">
        <v>1657</v>
      </c>
      <c r="D651" s="62" t="s">
        <v>1658</v>
      </c>
      <c r="E651" s="63"/>
    </row>
    <row r="652" spans="2:5" ht="33.75" customHeight="1">
      <c r="B652" s="60">
        <v>650</v>
      </c>
      <c r="C652" s="61" t="s">
        <v>1659</v>
      </c>
      <c r="D652" s="62" t="s">
        <v>1660</v>
      </c>
      <c r="E652" s="63" t="s">
        <v>1661</v>
      </c>
    </row>
    <row r="653" spans="2:5" ht="33.75" customHeight="1">
      <c r="B653" s="60">
        <v>651</v>
      </c>
      <c r="C653" s="61" t="s">
        <v>1662</v>
      </c>
      <c r="D653" s="62" t="s">
        <v>1663</v>
      </c>
      <c r="E653" s="63" t="s">
        <v>1664</v>
      </c>
    </row>
    <row r="654" spans="2:5" ht="33.75" customHeight="1">
      <c r="B654" s="60">
        <v>652</v>
      </c>
      <c r="C654" s="61" t="s">
        <v>1665</v>
      </c>
      <c r="D654" s="62" t="s">
        <v>1666</v>
      </c>
      <c r="E654" s="63"/>
    </row>
    <row r="655" spans="2:5" ht="33.75" customHeight="1">
      <c r="B655" s="60">
        <v>653</v>
      </c>
      <c r="C655" s="61" t="s">
        <v>1667</v>
      </c>
      <c r="D655" s="62" t="s">
        <v>1668</v>
      </c>
      <c r="E655" s="63"/>
    </row>
    <row r="656" spans="2:5" ht="33.75" customHeight="1">
      <c r="B656" s="60">
        <v>654</v>
      </c>
      <c r="C656" s="61" t="s">
        <v>1669</v>
      </c>
      <c r="D656" s="62" t="s">
        <v>1670</v>
      </c>
      <c r="E656" s="63"/>
    </row>
    <row r="657" spans="2:5" ht="33.75" customHeight="1">
      <c r="B657" s="60">
        <v>655</v>
      </c>
      <c r="C657" s="61" t="s">
        <v>1671</v>
      </c>
      <c r="D657" s="62" t="s">
        <v>1672</v>
      </c>
      <c r="E657" s="63"/>
    </row>
    <row r="658" spans="2:5" ht="33.75" customHeight="1">
      <c r="B658" s="60">
        <v>656</v>
      </c>
      <c r="C658" s="61" t="s">
        <v>1673</v>
      </c>
      <c r="D658" s="62" t="s">
        <v>1674</v>
      </c>
      <c r="E658" s="63"/>
    </row>
    <row r="659" spans="2:5" ht="33.75" customHeight="1">
      <c r="B659" s="60">
        <v>657</v>
      </c>
      <c r="C659" s="61" t="s">
        <v>1675</v>
      </c>
      <c r="D659" s="62" t="s">
        <v>1676</v>
      </c>
      <c r="E659" s="63"/>
    </row>
    <row r="660" spans="2:5" ht="33.75" customHeight="1">
      <c r="B660" s="60">
        <v>658</v>
      </c>
      <c r="C660" s="61" t="s">
        <v>1677</v>
      </c>
      <c r="D660" s="65" t="s">
        <v>1678</v>
      </c>
      <c r="E660" s="63"/>
    </row>
    <row r="661" spans="2:5" ht="33.75" customHeight="1">
      <c r="B661" s="60">
        <v>659</v>
      </c>
      <c r="C661" s="61" t="s">
        <v>1679</v>
      </c>
      <c r="D661" s="62" t="s">
        <v>1680</v>
      </c>
      <c r="E661" s="63"/>
    </row>
    <row r="662" spans="2:5" ht="33.75" customHeight="1">
      <c r="B662" s="60">
        <v>660</v>
      </c>
      <c r="C662" s="61" t="s">
        <v>1681</v>
      </c>
      <c r="D662" s="62" t="s">
        <v>1682</v>
      </c>
      <c r="E662" s="63"/>
    </row>
    <row r="663" spans="2:5" ht="33.75" customHeight="1">
      <c r="B663" s="60">
        <v>661</v>
      </c>
      <c r="C663" s="61" t="s">
        <v>1683</v>
      </c>
      <c r="D663" s="62" t="s">
        <v>1684</v>
      </c>
      <c r="E663" s="63"/>
    </row>
    <row r="664" spans="2:5" ht="33.75" customHeight="1">
      <c r="B664" s="60">
        <v>662</v>
      </c>
      <c r="C664" s="61" t="s">
        <v>1685</v>
      </c>
      <c r="D664" s="62" t="s">
        <v>1686</v>
      </c>
      <c r="E664" s="63" t="s">
        <v>1687</v>
      </c>
    </row>
    <row r="665" spans="2:5" ht="33.75" customHeight="1">
      <c r="B665" s="60">
        <v>663</v>
      </c>
      <c r="C665" s="61" t="s">
        <v>1688</v>
      </c>
      <c r="D665" s="62" t="s">
        <v>1689</v>
      </c>
      <c r="E665" s="63"/>
    </row>
    <row r="666" spans="2:5" ht="33.75" customHeight="1">
      <c r="B666" s="60">
        <v>664</v>
      </c>
      <c r="C666" s="61" t="s">
        <v>1690</v>
      </c>
      <c r="D666" s="62" t="s">
        <v>1691</v>
      </c>
      <c r="E666" s="63" t="s">
        <v>1692</v>
      </c>
    </row>
    <row r="667" spans="2:5" ht="33.75" customHeight="1">
      <c r="B667" s="60">
        <v>665</v>
      </c>
      <c r="C667" s="61" t="s">
        <v>1693</v>
      </c>
      <c r="D667" s="62" t="s">
        <v>1694</v>
      </c>
      <c r="E667" s="63"/>
    </row>
    <row r="668" spans="2:5" ht="33.75" customHeight="1">
      <c r="B668" s="60">
        <v>666</v>
      </c>
      <c r="C668" s="61" t="s">
        <v>1695</v>
      </c>
      <c r="D668" s="62" t="s">
        <v>1696</v>
      </c>
      <c r="E668" s="63"/>
    </row>
    <row r="669" spans="2:5" ht="33.75" customHeight="1">
      <c r="B669" s="60">
        <v>667</v>
      </c>
      <c r="C669" s="61" t="s">
        <v>1697</v>
      </c>
      <c r="D669" s="62" t="s">
        <v>1698</v>
      </c>
      <c r="E669" s="63"/>
    </row>
    <row r="670" spans="2:5" ht="33.75" customHeight="1">
      <c r="B670" s="60">
        <v>668</v>
      </c>
      <c r="C670" s="61" t="s">
        <v>1699</v>
      </c>
      <c r="D670" s="62" t="s">
        <v>1700</v>
      </c>
      <c r="E670" s="63"/>
    </row>
    <row r="671" spans="2:5" ht="33.75" customHeight="1">
      <c r="B671" s="60">
        <v>669</v>
      </c>
      <c r="C671" s="61" t="s">
        <v>1701</v>
      </c>
      <c r="D671" s="62" t="s">
        <v>1702</v>
      </c>
      <c r="E671" s="63"/>
    </row>
    <row r="672" spans="2:5" ht="33.75" customHeight="1">
      <c r="B672" s="60">
        <v>670</v>
      </c>
      <c r="C672" s="61" t="s">
        <v>1703</v>
      </c>
      <c r="D672" s="62" t="s">
        <v>1704</v>
      </c>
      <c r="E672" s="63"/>
    </row>
    <row r="673" spans="2:5" ht="33.75" customHeight="1">
      <c r="B673" s="60">
        <v>671</v>
      </c>
      <c r="C673" s="61" t="s">
        <v>1705</v>
      </c>
      <c r="D673" s="62" t="s">
        <v>1706</v>
      </c>
      <c r="E673" s="63"/>
    </row>
    <row r="674" spans="2:5" ht="33.75" customHeight="1">
      <c r="B674" s="60">
        <v>672</v>
      </c>
      <c r="C674" s="61" t="s">
        <v>1707</v>
      </c>
      <c r="D674" s="62" t="s">
        <v>1708</v>
      </c>
      <c r="E674" s="63"/>
    </row>
    <row r="675" spans="2:5" ht="33.75" customHeight="1">
      <c r="B675" s="60">
        <v>673</v>
      </c>
      <c r="C675" s="61" t="s">
        <v>1709</v>
      </c>
      <c r="D675" s="62" t="s">
        <v>1710</v>
      </c>
      <c r="E675" s="63"/>
    </row>
    <row r="676" spans="2:5" ht="33.75" customHeight="1">
      <c r="B676" s="60">
        <v>674</v>
      </c>
      <c r="C676" s="61" t="s">
        <v>1711</v>
      </c>
      <c r="D676" s="62" t="s">
        <v>1712</v>
      </c>
      <c r="E676" s="63"/>
    </row>
    <row r="677" spans="2:5" ht="33.75" customHeight="1">
      <c r="B677" s="60">
        <v>675</v>
      </c>
      <c r="C677" s="61" t="s">
        <v>1713</v>
      </c>
      <c r="D677" s="62" t="s">
        <v>1714</v>
      </c>
      <c r="E677" s="63" t="s">
        <v>1715</v>
      </c>
    </row>
    <row r="678" spans="2:5" ht="33.75" customHeight="1">
      <c r="B678" s="60">
        <v>676</v>
      </c>
      <c r="C678" s="61" t="s">
        <v>1716</v>
      </c>
      <c r="D678" s="62" t="s">
        <v>1717</v>
      </c>
      <c r="E678" s="63"/>
    </row>
    <row r="679" spans="2:5" ht="33.75" customHeight="1">
      <c r="B679" s="60">
        <v>677</v>
      </c>
      <c r="C679" s="61" t="s">
        <v>1718</v>
      </c>
      <c r="D679" s="62" t="s">
        <v>1719</v>
      </c>
      <c r="E679" s="63"/>
    </row>
    <row r="680" spans="2:5" ht="33.75" customHeight="1">
      <c r="B680" s="60">
        <v>678</v>
      </c>
      <c r="C680" s="61" t="s">
        <v>1720</v>
      </c>
      <c r="D680" s="62" t="s">
        <v>1721</v>
      </c>
      <c r="E680" s="63" t="s">
        <v>1722</v>
      </c>
    </row>
    <row r="681" spans="2:5" ht="33.75" customHeight="1">
      <c r="B681" s="60">
        <v>679</v>
      </c>
      <c r="C681" s="61" t="s">
        <v>1723</v>
      </c>
      <c r="D681" s="62" t="s">
        <v>1724</v>
      </c>
      <c r="E681" s="63"/>
    </row>
    <row r="682" spans="2:5" ht="33.75" customHeight="1">
      <c r="B682" s="60">
        <v>680</v>
      </c>
      <c r="C682" s="61" t="s">
        <v>1725</v>
      </c>
      <c r="D682" s="62" t="s">
        <v>1726</v>
      </c>
      <c r="E682" s="63"/>
    </row>
    <row r="683" spans="2:5" ht="33.75" customHeight="1">
      <c r="B683" s="60">
        <v>681</v>
      </c>
      <c r="C683" s="61" t="s">
        <v>1727</v>
      </c>
      <c r="D683" s="62" t="s">
        <v>1728</v>
      </c>
      <c r="E683" s="63" t="s">
        <v>1729</v>
      </c>
    </row>
    <row r="684" spans="2:5" ht="33.75" customHeight="1">
      <c r="B684" s="60">
        <v>682</v>
      </c>
      <c r="C684" s="61" t="s">
        <v>1730</v>
      </c>
      <c r="D684" s="62" t="s">
        <v>1731</v>
      </c>
      <c r="E684" s="63"/>
    </row>
    <row r="685" spans="2:5" ht="33.75" customHeight="1">
      <c r="B685" s="60">
        <v>683</v>
      </c>
      <c r="C685" s="61" t="s">
        <v>1732</v>
      </c>
      <c r="D685" s="62" t="s">
        <v>1733</v>
      </c>
      <c r="E685" s="63"/>
    </row>
    <row r="686" spans="2:5" ht="33.75" customHeight="1">
      <c r="B686" s="60">
        <v>684</v>
      </c>
      <c r="C686" s="61" t="s">
        <v>1734</v>
      </c>
      <c r="D686" s="62" t="s">
        <v>1735</v>
      </c>
      <c r="E686" s="63"/>
    </row>
    <row r="687" spans="2:5" ht="33.75" customHeight="1">
      <c r="B687" s="60">
        <v>685</v>
      </c>
      <c r="C687" s="61" t="s">
        <v>1736</v>
      </c>
      <c r="D687" s="62" t="s">
        <v>1737</v>
      </c>
      <c r="E687" s="63"/>
    </row>
    <row r="688" spans="2:5" ht="33.75" customHeight="1">
      <c r="B688" s="60">
        <v>686</v>
      </c>
      <c r="C688" s="61" t="s">
        <v>1738</v>
      </c>
      <c r="D688" s="62" t="s">
        <v>1739</v>
      </c>
      <c r="E688" s="63"/>
    </row>
    <row r="689" spans="2:5" ht="33.75" customHeight="1">
      <c r="B689" s="60">
        <v>687</v>
      </c>
      <c r="C689" s="61" t="s">
        <v>1740</v>
      </c>
      <c r="D689" s="62" t="s">
        <v>1741</v>
      </c>
      <c r="E689" s="63"/>
    </row>
    <row r="690" spans="2:5" ht="33.75" customHeight="1">
      <c r="B690" s="60">
        <v>688</v>
      </c>
      <c r="C690" s="61" t="s">
        <v>1742</v>
      </c>
      <c r="D690" s="62" t="s">
        <v>1743</v>
      </c>
      <c r="E690" s="63"/>
    </row>
    <row r="691" spans="2:5" ht="33.75" customHeight="1">
      <c r="B691" s="60">
        <v>689</v>
      </c>
      <c r="C691" s="61" t="s">
        <v>1744</v>
      </c>
      <c r="D691" s="62" t="s">
        <v>1745</v>
      </c>
      <c r="E691" s="63"/>
    </row>
    <row r="692" spans="2:5" ht="33.75" customHeight="1">
      <c r="B692" s="60">
        <v>690</v>
      </c>
      <c r="C692" s="61" t="s">
        <v>1746</v>
      </c>
      <c r="D692" s="62" t="s">
        <v>1747</v>
      </c>
      <c r="E692" s="63"/>
    </row>
    <row r="693" spans="2:5" ht="33.75" customHeight="1">
      <c r="B693" s="60">
        <v>691</v>
      </c>
      <c r="C693" s="61" t="s">
        <v>1748</v>
      </c>
      <c r="D693" s="62" t="s">
        <v>1749</v>
      </c>
      <c r="E693" s="63" t="s">
        <v>1750</v>
      </c>
    </row>
    <row r="694" spans="2:5" ht="33.75" customHeight="1">
      <c r="B694" s="60">
        <v>692</v>
      </c>
      <c r="C694" s="61" t="s">
        <v>1751</v>
      </c>
      <c r="D694" s="62" t="s">
        <v>1752</v>
      </c>
      <c r="E694" s="63"/>
    </row>
    <row r="695" spans="2:5" ht="33.75" customHeight="1">
      <c r="B695" s="60">
        <v>693</v>
      </c>
      <c r="C695" s="61" t="s">
        <v>1753</v>
      </c>
      <c r="D695" s="62" t="s">
        <v>1754</v>
      </c>
      <c r="E695" s="63"/>
    </row>
    <row r="696" spans="2:5" ht="33.75" customHeight="1">
      <c r="B696" s="60">
        <v>694</v>
      </c>
      <c r="C696" s="61" t="s">
        <v>1755</v>
      </c>
      <c r="D696" s="62" t="s">
        <v>1756</v>
      </c>
      <c r="E696" s="63" t="s">
        <v>1757</v>
      </c>
    </row>
    <row r="697" spans="2:5" ht="33.75" customHeight="1">
      <c r="B697" s="60">
        <v>695</v>
      </c>
      <c r="C697" s="61" t="s">
        <v>1758</v>
      </c>
      <c r="D697" s="62" t="s">
        <v>1759</v>
      </c>
      <c r="E697" s="63" t="s">
        <v>1760</v>
      </c>
    </row>
    <row r="698" spans="2:5" ht="33.75" customHeight="1">
      <c r="B698" s="60">
        <v>696</v>
      </c>
      <c r="C698" s="61" t="s">
        <v>1761</v>
      </c>
      <c r="D698" s="62" t="s">
        <v>1762</v>
      </c>
      <c r="E698" s="63" t="s">
        <v>1763</v>
      </c>
    </row>
    <row r="699" spans="2:5" ht="33.75" customHeight="1">
      <c r="B699" s="60">
        <v>697</v>
      </c>
      <c r="C699" s="61" t="s">
        <v>1764</v>
      </c>
      <c r="D699" s="62" t="s">
        <v>1765</v>
      </c>
      <c r="E699" s="63" t="s">
        <v>1766</v>
      </c>
    </row>
    <row r="700" spans="2:5" ht="33.75" customHeight="1">
      <c r="B700" s="60">
        <v>698</v>
      </c>
      <c r="C700" s="61" t="s">
        <v>1767</v>
      </c>
      <c r="D700" s="62" t="s">
        <v>1768</v>
      </c>
      <c r="E700" s="63"/>
    </row>
    <row r="701" spans="2:5" ht="33.75" customHeight="1">
      <c r="B701" s="60">
        <v>699</v>
      </c>
      <c r="C701" s="61" t="s">
        <v>1769</v>
      </c>
      <c r="D701" s="62" t="s">
        <v>1770</v>
      </c>
      <c r="E701" s="63"/>
    </row>
    <row r="702" spans="2:5" ht="33.75" customHeight="1">
      <c r="B702" s="60">
        <v>700</v>
      </c>
      <c r="C702" s="61" t="s">
        <v>1771</v>
      </c>
      <c r="D702" s="62" t="s">
        <v>1772</v>
      </c>
      <c r="E702" s="63" t="s">
        <v>1773</v>
      </c>
    </row>
    <row r="703" spans="2:5" ht="33.75" customHeight="1">
      <c r="B703" s="60">
        <v>701</v>
      </c>
      <c r="C703" s="61" t="s">
        <v>1774</v>
      </c>
      <c r="D703" s="62" t="s">
        <v>1775</v>
      </c>
      <c r="E703" s="63"/>
    </row>
    <row r="704" spans="2:5" ht="33.75" customHeight="1">
      <c r="B704" s="60">
        <v>702</v>
      </c>
      <c r="C704" s="61" t="s">
        <v>1776</v>
      </c>
      <c r="D704" s="62" t="s">
        <v>1777</v>
      </c>
      <c r="E704" s="63"/>
    </row>
    <row r="705" spans="2:5" ht="33.75" customHeight="1">
      <c r="B705" s="60">
        <v>703</v>
      </c>
      <c r="C705" s="61" t="s">
        <v>1778</v>
      </c>
      <c r="D705" s="62" t="s">
        <v>1779</v>
      </c>
      <c r="E705" s="63" t="s">
        <v>1780</v>
      </c>
    </row>
    <row r="706" spans="2:5" ht="33.75" customHeight="1">
      <c r="B706" s="60">
        <v>704</v>
      </c>
      <c r="C706" s="61" t="s">
        <v>1781</v>
      </c>
      <c r="D706" s="65" t="s">
        <v>1782</v>
      </c>
      <c r="E706" s="63" t="s">
        <v>1780</v>
      </c>
    </row>
    <row r="707" spans="2:5" ht="33.75" customHeight="1">
      <c r="B707" s="60">
        <v>705</v>
      </c>
      <c r="C707" s="61" t="s">
        <v>1783</v>
      </c>
      <c r="D707" s="62" t="s">
        <v>1784</v>
      </c>
      <c r="E707" s="63" t="s">
        <v>1785</v>
      </c>
    </row>
    <row r="708" spans="2:5" ht="33.75" customHeight="1">
      <c r="B708" s="60">
        <v>706</v>
      </c>
      <c r="C708" s="61" t="s">
        <v>1786</v>
      </c>
      <c r="D708" s="62" t="s">
        <v>1787</v>
      </c>
      <c r="E708" s="63"/>
    </row>
    <row r="709" spans="2:5" ht="33.75" customHeight="1">
      <c r="B709" s="60">
        <v>707</v>
      </c>
      <c r="C709" s="61" t="s">
        <v>1788</v>
      </c>
      <c r="D709" s="62" t="s">
        <v>1789</v>
      </c>
      <c r="E709" s="63"/>
    </row>
    <row r="710" spans="2:5" ht="33.75" customHeight="1">
      <c r="B710" s="60">
        <v>708</v>
      </c>
      <c r="C710" s="61" t="s">
        <v>1790</v>
      </c>
      <c r="D710" s="62" t="s">
        <v>1791</v>
      </c>
      <c r="E710" s="63"/>
    </row>
    <row r="711" spans="2:5" ht="33.75" customHeight="1">
      <c r="B711" s="60">
        <v>709</v>
      </c>
      <c r="C711" s="61" t="s">
        <v>1792</v>
      </c>
      <c r="D711" s="62" t="s">
        <v>1793</v>
      </c>
      <c r="E711" s="63"/>
    </row>
    <row r="712" spans="2:5" ht="33.75" customHeight="1">
      <c r="B712" s="60">
        <v>710</v>
      </c>
      <c r="C712" s="61" t="s">
        <v>1794</v>
      </c>
      <c r="D712" s="62" t="s">
        <v>1795</v>
      </c>
      <c r="E712" s="63"/>
    </row>
    <row r="713" spans="2:5" ht="33.75" customHeight="1">
      <c r="B713" s="60">
        <v>711</v>
      </c>
      <c r="C713" s="61" t="s">
        <v>1796</v>
      </c>
      <c r="D713" s="62" t="s">
        <v>1797</v>
      </c>
      <c r="E713" s="63"/>
    </row>
    <row r="714" spans="2:5" ht="33.75" customHeight="1">
      <c r="B714" s="60">
        <v>712</v>
      </c>
      <c r="C714" s="61" t="s">
        <v>1798</v>
      </c>
      <c r="D714" s="62" t="s">
        <v>1799</v>
      </c>
      <c r="E714" s="63" t="s">
        <v>1800</v>
      </c>
    </row>
    <row r="715" spans="2:5" ht="33.75" customHeight="1">
      <c r="B715" s="60">
        <v>713</v>
      </c>
      <c r="C715" s="61" t="s">
        <v>1801</v>
      </c>
      <c r="D715" s="62" t="s">
        <v>1802</v>
      </c>
      <c r="E715" s="63"/>
    </row>
    <row r="716" spans="2:5" ht="33.75" customHeight="1">
      <c r="B716" s="60">
        <v>714</v>
      </c>
      <c r="C716" s="61" t="s">
        <v>1803</v>
      </c>
      <c r="D716" s="62" t="s">
        <v>1804</v>
      </c>
      <c r="E716" s="63" t="s">
        <v>1805</v>
      </c>
    </row>
    <row r="717" spans="2:5" ht="33.75" customHeight="1">
      <c r="B717" s="60">
        <v>715</v>
      </c>
      <c r="C717" s="61" t="s">
        <v>1806</v>
      </c>
      <c r="D717" s="62" t="s">
        <v>1807</v>
      </c>
      <c r="E717" s="63"/>
    </row>
    <row r="718" spans="2:5" ht="33.75" customHeight="1">
      <c r="B718" s="60">
        <v>716</v>
      </c>
      <c r="C718" s="61" t="s">
        <v>1808</v>
      </c>
      <c r="D718" s="62" t="s">
        <v>1809</v>
      </c>
      <c r="E718" s="63"/>
    </row>
    <row r="719" spans="2:5" ht="33.75" customHeight="1">
      <c r="B719" s="60">
        <v>717</v>
      </c>
      <c r="C719" s="61" t="s">
        <v>1810</v>
      </c>
      <c r="D719" s="62" t="s">
        <v>1811</v>
      </c>
      <c r="E719" s="63"/>
    </row>
    <row r="720" spans="2:5" ht="33.75" customHeight="1">
      <c r="B720" s="60">
        <v>718</v>
      </c>
      <c r="C720" s="61" t="s">
        <v>1812</v>
      </c>
      <c r="D720" s="62" t="s">
        <v>1813</v>
      </c>
      <c r="E720" s="63"/>
    </row>
    <row r="721" spans="2:5" ht="33.75" customHeight="1">
      <c r="B721" s="60">
        <v>719</v>
      </c>
      <c r="C721" s="61" t="s">
        <v>1814</v>
      </c>
      <c r="D721" s="62" t="s">
        <v>1815</v>
      </c>
      <c r="E721" s="63"/>
    </row>
    <row r="722" spans="2:5" ht="33.75" customHeight="1">
      <c r="B722" s="60">
        <v>720</v>
      </c>
      <c r="C722" s="61" t="s">
        <v>1816</v>
      </c>
      <c r="D722" s="62" t="s">
        <v>1817</v>
      </c>
      <c r="E722" s="63" t="s">
        <v>1818</v>
      </c>
    </row>
    <row r="723" spans="2:5" ht="33.75" customHeight="1">
      <c r="B723" s="60">
        <v>721</v>
      </c>
      <c r="C723" s="61" t="s">
        <v>1819</v>
      </c>
      <c r="D723" s="62" t="s">
        <v>1820</v>
      </c>
      <c r="E723" s="63" t="s">
        <v>1821</v>
      </c>
    </row>
    <row r="724" spans="2:5" ht="33.75" customHeight="1">
      <c r="B724" s="60">
        <v>722</v>
      </c>
      <c r="C724" s="61" t="s">
        <v>1822</v>
      </c>
      <c r="D724" s="62" t="s">
        <v>1823</v>
      </c>
      <c r="E724" s="63" t="s">
        <v>1824</v>
      </c>
    </row>
    <row r="725" spans="2:5" ht="33.75" customHeight="1">
      <c r="B725" s="60">
        <v>723</v>
      </c>
      <c r="C725" s="61" t="s">
        <v>1825</v>
      </c>
      <c r="D725" s="62" t="s">
        <v>1826</v>
      </c>
      <c r="E725" s="63"/>
    </row>
    <row r="726" spans="2:5" ht="33.75" customHeight="1">
      <c r="B726" s="60">
        <v>724</v>
      </c>
      <c r="C726" s="61" t="s">
        <v>1827</v>
      </c>
      <c r="D726" s="62" t="s">
        <v>1828</v>
      </c>
      <c r="E726" s="63"/>
    </row>
    <row r="727" spans="2:5" ht="33.75" customHeight="1">
      <c r="B727" s="60">
        <v>725</v>
      </c>
      <c r="C727" s="61" t="s">
        <v>1829</v>
      </c>
      <c r="D727" s="62" t="s">
        <v>1830</v>
      </c>
      <c r="E727" s="63"/>
    </row>
    <row r="728" spans="2:5" ht="33.75" customHeight="1">
      <c r="B728" s="60">
        <v>726</v>
      </c>
      <c r="C728" s="61" t="s">
        <v>1831</v>
      </c>
      <c r="D728" s="62" t="s">
        <v>1832</v>
      </c>
      <c r="E728" s="63"/>
    </row>
    <row r="729" spans="2:5" ht="33.75" customHeight="1">
      <c r="B729" s="60">
        <v>727</v>
      </c>
      <c r="C729" s="61" t="s">
        <v>1833</v>
      </c>
      <c r="D729" s="62" t="s">
        <v>1834</v>
      </c>
      <c r="E729" s="63"/>
    </row>
    <row r="730" spans="2:5" ht="33.75" customHeight="1">
      <c r="B730" s="60">
        <v>728</v>
      </c>
      <c r="C730" s="61" t="s">
        <v>1835</v>
      </c>
      <c r="D730" s="62" t="s">
        <v>1836</v>
      </c>
      <c r="E730" s="63"/>
    </row>
    <row r="731" spans="2:5" ht="33.75" customHeight="1">
      <c r="B731" s="60">
        <v>729</v>
      </c>
      <c r="C731" s="61" t="s">
        <v>1837</v>
      </c>
      <c r="D731" s="62" t="s">
        <v>1838</v>
      </c>
      <c r="E731" s="63"/>
    </row>
    <row r="732" spans="2:5" ht="33.75" customHeight="1">
      <c r="B732" s="60">
        <v>730</v>
      </c>
      <c r="C732" s="61" t="s">
        <v>1839</v>
      </c>
      <c r="D732" s="62" t="s">
        <v>1840</v>
      </c>
      <c r="E732" s="63" t="s">
        <v>1841</v>
      </c>
    </row>
    <row r="733" spans="2:5" ht="33.75" customHeight="1">
      <c r="B733" s="60">
        <v>731</v>
      </c>
      <c r="C733" s="61" t="s">
        <v>1842</v>
      </c>
      <c r="D733" s="62" t="s">
        <v>1843</v>
      </c>
      <c r="E733" s="63"/>
    </row>
    <row r="734" spans="2:5" ht="33.75" customHeight="1">
      <c r="B734" s="60">
        <v>732</v>
      </c>
      <c r="C734" s="61" t="s">
        <v>1844</v>
      </c>
      <c r="D734" s="62" t="s">
        <v>1845</v>
      </c>
      <c r="E734" s="63" t="s">
        <v>1846</v>
      </c>
    </row>
    <row r="735" spans="2:5" ht="33.75" customHeight="1">
      <c r="B735" s="60">
        <v>733</v>
      </c>
      <c r="C735" s="61" t="s">
        <v>1847</v>
      </c>
      <c r="D735" s="62" t="s">
        <v>1848</v>
      </c>
      <c r="E735" s="63" t="s">
        <v>1849</v>
      </c>
    </row>
    <row r="736" spans="2:5" ht="33.75" customHeight="1">
      <c r="B736" s="60">
        <v>734</v>
      </c>
      <c r="C736" s="61" t="s">
        <v>1850</v>
      </c>
      <c r="D736" s="62" t="s">
        <v>1851</v>
      </c>
      <c r="E736" s="63" t="s">
        <v>1852</v>
      </c>
    </row>
    <row r="737" spans="2:5" ht="33.75" customHeight="1">
      <c r="B737" s="60">
        <v>735</v>
      </c>
      <c r="C737" s="61" t="s">
        <v>1853</v>
      </c>
      <c r="D737" s="62" t="s">
        <v>1854</v>
      </c>
      <c r="E737" s="63"/>
    </row>
    <row r="738" spans="2:5" ht="33.75" customHeight="1">
      <c r="B738" s="60">
        <v>736</v>
      </c>
      <c r="C738" s="61" t="s">
        <v>1855</v>
      </c>
      <c r="D738" s="62" t="s">
        <v>1856</v>
      </c>
      <c r="E738" s="63" t="s">
        <v>1857</v>
      </c>
    </row>
    <row r="739" spans="2:5" ht="33.75" customHeight="1">
      <c r="B739" s="60">
        <v>737</v>
      </c>
      <c r="C739" s="61" t="s">
        <v>1858</v>
      </c>
      <c r="D739" s="62" t="s">
        <v>1859</v>
      </c>
      <c r="E739" s="63"/>
    </row>
    <row r="740" spans="2:5" ht="33.75" customHeight="1">
      <c r="B740" s="60">
        <v>738</v>
      </c>
      <c r="C740" s="61" t="s">
        <v>1860</v>
      </c>
      <c r="D740" s="62" t="s">
        <v>1861</v>
      </c>
      <c r="E740" s="63"/>
    </row>
    <row r="741" spans="2:5" ht="33.75" customHeight="1">
      <c r="B741" s="60">
        <v>739</v>
      </c>
      <c r="C741" s="61" t="s">
        <v>1862</v>
      </c>
      <c r="D741" s="62" t="s">
        <v>1863</v>
      </c>
      <c r="E741" s="63"/>
    </row>
    <row r="742" spans="2:5" ht="33.75" customHeight="1">
      <c r="B742" s="60">
        <v>740</v>
      </c>
      <c r="C742" s="61" t="s">
        <v>1864</v>
      </c>
      <c r="D742" s="62" t="s">
        <v>1865</v>
      </c>
      <c r="E742" s="63" t="s">
        <v>1866</v>
      </c>
    </row>
    <row r="743" spans="2:5" ht="33.75" customHeight="1">
      <c r="B743" s="60">
        <v>741</v>
      </c>
      <c r="C743" s="61" t="s">
        <v>1867</v>
      </c>
      <c r="D743" s="62" t="s">
        <v>1868</v>
      </c>
      <c r="E743" s="63"/>
    </row>
    <row r="744" spans="2:5" ht="33.75" customHeight="1">
      <c r="B744" s="60">
        <v>742</v>
      </c>
      <c r="C744" s="61" t="s">
        <v>1869</v>
      </c>
      <c r="D744" s="62" t="s">
        <v>1870</v>
      </c>
      <c r="E744" s="63"/>
    </row>
    <row r="745" spans="2:5" ht="33.75" customHeight="1">
      <c r="B745" s="60">
        <v>743</v>
      </c>
      <c r="C745" s="61" t="s">
        <v>1871</v>
      </c>
      <c r="D745" s="62" t="s">
        <v>1872</v>
      </c>
      <c r="E745" s="63"/>
    </row>
    <row r="746" spans="2:5" ht="33.75" customHeight="1">
      <c r="B746" s="60">
        <v>744</v>
      </c>
      <c r="C746" s="61" t="s">
        <v>1873</v>
      </c>
      <c r="D746" s="62" t="s">
        <v>1874</v>
      </c>
      <c r="E746" s="63" t="s">
        <v>1875</v>
      </c>
    </row>
    <row r="747" spans="2:5" ht="33.75" customHeight="1">
      <c r="B747" s="60">
        <v>745</v>
      </c>
      <c r="C747" s="61" t="s">
        <v>1876</v>
      </c>
      <c r="D747" s="62" t="s">
        <v>1877</v>
      </c>
      <c r="E747" s="63"/>
    </row>
    <row r="748" spans="2:5" ht="33.75" customHeight="1">
      <c r="B748" s="60">
        <v>746</v>
      </c>
      <c r="C748" s="61" t="s">
        <v>1878</v>
      </c>
      <c r="D748" s="62" t="s">
        <v>1879</v>
      </c>
      <c r="E748" s="63"/>
    </row>
    <row r="749" spans="2:5" ht="33.75" customHeight="1">
      <c r="B749" s="60">
        <v>747</v>
      </c>
      <c r="C749" s="61" t="s">
        <v>1880</v>
      </c>
      <c r="D749" s="62" t="s">
        <v>1881</v>
      </c>
      <c r="E749" s="63"/>
    </row>
    <row r="750" spans="2:5" ht="33.75" customHeight="1">
      <c r="B750" s="60">
        <v>748</v>
      </c>
      <c r="C750" s="61" t="s">
        <v>1882</v>
      </c>
      <c r="D750" s="62" t="s">
        <v>1883</v>
      </c>
      <c r="E750" s="63" t="s">
        <v>1884</v>
      </c>
    </row>
    <row r="751" spans="2:5" ht="33.75" customHeight="1">
      <c r="B751" s="60">
        <v>749</v>
      </c>
      <c r="C751" s="61" t="s">
        <v>1885</v>
      </c>
      <c r="D751" s="62" t="s">
        <v>1886</v>
      </c>
      <c r="E751" s="63"/>
    </row>
    <row r="752" spans="2:5" ht="33.75" customHeight="1">
      <c r="B752" s="60">
        <v>750</v>
      </c>
      <c r="C752" s="61" t="s">
        <v>1887</v>
      </c>
      <c r="D752" s="62" t="s">
        <v>1888</v>
      </c>
      <c r="E752" s="63"/>
    </row>
    <row r="753" spans="2:5" ht="33.75" customHeight="1">
      <c r="B753" s="60">
        <v>751</v>
      </c>
      <c r="C753" s="61" t="s">
        <v>1889</v>
      </c>
      <c r="D753" s="62" t="s">
        <v>1890</v>
      </c>
      <c r="E753" s="63" t="s">
        <v>1891</v>
      </c>
    </row>
    <row r="754" spans="2:5" ht="33.75" customHeight="1">
      <c r="B754" s="60">
        <v>752</v>
      </c>
      <c r="C754" s="61" t="s">
        <v>1892</v>
      </c>
      <c r="D754" s="62" t="s">
        <v>1893</v>
      </c>
      <c r="E754" s="63"/>
    </row>
    <row r="755" spans="2:5" ht="33.75" customHeight="1">
      <c r="B755" s="60">
        <v>753</v>
      </c>
      <c r="C755" s="61" t="s">
        <v>1894</v>
      </c>
      <c r="D755" s="62" t="s">
        <v>1895</v>
      </c>
      <c r="E755" s="63"/>
    </row>
    <row r="756" spans="2:5" ht="33.75" customHeight="1">
      <c r="B756" s="60">
        <v>754</v>
      </c>
      <c r="C756" s="61" t="s">
        <v>1896</v>
      </c>
      <c r="D756" s="62" t="s">
        <v>1897</v>
      </c>
      <c r="E756" s="63" t="s">
        <v>1898</v>
      </c>
    </row>
    <row r="757" spans="2:5" ht="33.75" customHeight="1">
      <c r="B757" s="60">
        <v>755</v>
      </c>
      <c r="C757" s="61" t="s">
        <v>1899</v>
      </c>
      <c r="D757" s="62" t="s">
        <v>1900</v>
      </c>
      <c r="E757" s="63"/>
    </row>
    <row r="758" spans="2:5" ht="33.75" customHeight="1">
      <c r="B758" s="60">
        <v>756</v>
      </c>
      <c r="C758" s="61" t="s">
        <v>1901</v>
      </c>
      <c r="D758" s="62" t="s">
        <v>1902</v>
      </c>
      <c r="E758" s="63"/>
    </row>
    <row r="759" spans="2:5" ht="33.75" customHeight="1">
      <c r="B759" s="60">
        <v>757</v>
      </c>
      <c r="C759" s="61" t="s">
        <v>1903</v>
      </c>
      <c r="D759" s="62" t="s">
        <v>1904</v>
      </c>
      <c r="E759" s="63"/>
    </row>
    <row r="760" spans="2:5" ht="33.75" customHeight="1">
      <c r="B760" s="60">
        <v>758</v>
      </c>
      <c r="C760" s="61" t="s">
        <v>1905</v>
      </c>
      <c r="D760" s="62" t="s">
        <v>1906</v>
      </c>
      <c r="E760" s="63"/>
    </row>
    <row r="761" spans="2:5" ht="33.75" customHeight="1">
      <c r="B761" s="60">
        <v>759</v>
      </c>
      <c r="C761" s="61" t="s">
        <v>1907</v>
      </c>
      <c r="D761" s="62" t="s">
        <v>1908</v>
      </c>
      <c r="E761" s="63"/>
    </row>
    <row r="762" spans="2:5" ht="33.75" customHeight="1">
      <c r="B762" s="60">
        <v>760</v>
      </c>
      <c r="C762" s="61" t="s">
        <v>1909</v>
      </c>
      <c r="D762" s="62" t="s">
        <v>1910</v>
      </c>
      <c r="E762" s="63"/>
    </row>
    <row r="763" spans="2:5" ht="33.75" customHeight="1">
      <c r="B763" s="60">
        <v>761</v>
      </c>
      <c r="C763" s="61" t="s">
        <v>1911</v>
      </c>
      <c r="D763" s="62" t="s">
        <v>1912</v>
      </c>
      <c r="E763" s="63" t="s">
        <v>1913</v>
      </c>
    </row>
    <row r="764" spans="2:5" ht="33.75" customHeight="1">
      <c r="B764" s="60">
        <v>762</v>
      </c>
      <c r="C764" s="61" t="s">
        <v>1914</v>
      </c>
      <c r="D764" s="62" t="s">
        <v>1915</v>
      </c>
      <c r="E764" s="63"/>
    </row>
    <row r="765" spans="2:5" ht="33.75" customHeight="1">
      <c r="B765" s="60">
        <v>763</v>
      </c>
      <c r="C765" s="61" t="s">
        <v>1916</v>
      </c>
      <c r="D765" s="62" t="s">
        <v>1917</v>
      </c>
      <c r="E765" s="63" t="s">
        <v>1918</v>
      </c>
    </row>
    <row r="766" spans="2:5" ht="33.75" customHeight="1">
      <c r="B766" s="60">
        <v>764</v>
      </c>
      <c r="C766" s="61" t="s">
        <v>1919</v>
      </c>
      <c r="D766" s="62" t="s">
        <v>1920</v>
      </c>
      <c r="E766" s="63"/>
    </row>
    <row r="767" spans="2:5" ht="33.75" customHeight="1">
      <c r="B767" s="60">
        <v>765</v>
      </c>
      <c r="C767" s="61" t="s">
        <v>1921</v>
      </c>
      <c r="D767" s="62" t="s">
        <v>1922</v>
      </c>
      <c r="E767" s="63" t="s">
        <v>1923</v>
      </c>
    </row>
    <row r="768" spans="2:5" ht="33.75" customHeight="1">
      <c r="B768" s="60">
        <v>766</v>
      </c>
      <c r="C768" s="61" t="s">
        <v>1924</v>
      </c>
      <c r="D768" s="62" t="s">
        <v>1925</v>
      </c>
      <c r="E768" s="63" t="s">
        <v>1926</v>
      </c>
    </row>
    <row r="769" spans="2:5" ht="33.75" customHeight="1">
      <c r="B769" s="60">
        <v>767</v>
      </c>
      <c r="C769" s="61" t="s">
        <v>1927</v>
      </c>
      <c r="D769" s="62" t="s">
        <v>1928</v>
      </c>
      <c r="E769" s="63"/>
    </row>
    <row r="770" spans="2:5" ht="33.75" customHeight="1">
      <c r="B770" s="60">
        <v>768</v>
      </c>
      <c r="C770" s="61" t="s">
        <v>1929</v>
      </c>
      <c r="D770" s="62" t="s">
        <v>1930</v>
      </c>
      <c r="E770" s="63" t="s">
        <v>1931</v>
      </c>
    </row>
    <row r="771" spans="2:5" ht="33.75" customHeight="1">
      <c r="B771" s="60">
        <v>769</v>
      </c>
      <c r="C771" s="61" t="s">
        <v>1932</v>
      </c>
      <c r="D771" s="62" t="s">
        <v>1933</v>
      </c>
      <c r="E771" s="63" t="s">
        <v>1934</v>
      </c>
    </row>
    <row r="772" spans="2:5" ht="33.75" customHeight="1">
      <c r="B772" s="60">
        <v>770</v>
      </c>
      <c r="C772" s="61" t="s">
        <v>1935</v>
      </c>
      <c r="D772" s="62" t="s">
        <v>1936</v>
      </c>
      <c r="E772" s="63"/>
    </row>
    <row r="773" spans="2:5" ht="33.75" customHeight="1">
      <c r="B773" s="60">
        <v>771</v>
      </c>
      <c r="C773" s="61" t="s">
        <v>1937</v>
      </c>
      <c r="D773" s="62" t="s">
        <v>1938</v>
      </c>
      <c r="E773" s="63" t="s">
        <v>1939</v>
      </c>
    </row>
    <row r="774" spans="2:5" ht="33.75" customHeight="1">
      <c r="B774" s="60">
        <v>772</v>
      </c>
      <c r="C774" s="61" t="s">
        <v>1940</v>
      </c>
      <c r="D774" s="62" t="s">
        <v>1941</v>
      </c>
      <c r="E774" s="63" t="s">
        <v>1942</v>
      </c>
    </row>
    <row r="775" spans="2:5" ht="33.75" customHeight="1">
      <c r="B775" s="60">
        <v>773</v>
      </c>
      <c r="C775" s="61" t="s">
        <v>1943</v>
      </c>
      <c r="D775" s="62" t="s">
        <v>1944</v>
      </c>
      <c r="E775" s="63"/>
    </row>
    <row r="776" spans="2:5" ht="33.75" customHeight="1">
      <c r="B776" s="60">
        <v>774</v>
      </c>
      <c r="C776" s="61" t="s">
        <v>1945</v>
      </c>
      <c r="D776" s="62" t="s">
        <v>1946</v>
      </c>
      <c r="E776" s="63"/>
    </row>
    <row r="777" spans="2:5" ht="33.75" customHeight="1">
      <c r="B777" s="60">
        <v>775</v>
      </c>
      <c r="C777" s="61" t="s">
        <v>1947</v>
      </c>
      <c r="D777" s="62" t="s">
        <v>1948</v>
      </c>
      <c r="E777" s="63" t="s">
        <v>1949</v>
      </c>
    </row>
    <row r="778" spans="2:5" ht="33.75" customHeight="1">
      <c r="B778" s="60">
        <v>776</v>
      </c>
      <c r="C778" s="61" t="s">
        <v>1950</v>
      </c>
      <c r="D778" s="62" t="s">
        <v>1951</v>
      </c>
      <c r="E778" s="63"/>
    </row>
    <row r="779" spans="2:5" ht="33.75" customHeight="1">
      <c r="B779" s="60">
        <v>777</v>
      </c>
      <c r="C779" s="61" t="s">
        <v>1952</v>
      </c>
      <c r="D779" s="62" t="s">
        <v>1953</v>
      </c>
      <c r="E779" s="63" t="s">
        <v>1954</v>
      </c>
    </row>
    <row r="780" spans="2:5" ht="33.75" customHeight="1">
      <c r="B780" s="60">
        <v>778</v>
      </c>
      <c r="C780" s="61" t="s">
        <v>1955</v>
      </c>
      <c r="D780" s="62" t="s">
        <v>1956</v>
      </c>
      <c r="E780" s="63" t="s">
        <v>1957</v>
      </c>
    </row>
    <row r="781" spans="2:5" ht="33.75" customHeight="1">
      <c r="B781" s="60">
        <v>779</v>
      </c>
      <c r="C781" s="61" t="s">
        <v>1958</v>
      </c>
      <c r="D781" s="62" t="s">
        <v>1959</v>
      </c>
      <c r="E781" s="63"/>
    </row>
    <row r="782" spans="2:5" ht="33.75" customHeight="1">
      <c r="B782" s="60">
        <v>780</v>
      </c>
      <c r="C782" s="61" t="s">
        <v>1960</v>
      </c>
      <c r="D782" s="62" t="s">
        <v>1961</v>
      </c>
      <c r="E782" s="63" t="s">
        <v>1962</v>
      </c>
    </row>
    <row r="783" spans="2:5" ht="33.75" customHeight="1">
      <c r="B783" s="60">
        <v>781</v>
      </c>
      <c r="C783" s="61" t="s">
        <v>1963</v>
      </c>
      <c r="D783" s="62" t="s">
        <v>1964</v>
      </c>
      <c r="E783" s="63" t="s">
        <v>1965</v>
      </c>
    </row>
    <row r="784" spans="2:5" ht="33.75" customHeight="1">
      <c r="B784" s="60">
        <v>782</v>
      </c>
      <c r="C784" s="61" t="s">
        <v>1966</v>
      </c>
      <c r="D784" s="62" t="s">
        <v>1967</v>
      </c>
      <c r="E784" s="63"/>
    </row>
    <row r="785" spans="2:5" ht="33.75" customHeight="1">
      <c r="B785" s="60">
        <v>783</v>
      </c>
      <c r="C785" s="61" t="s">
        <v>1968</v>
      </c>
      <c r="D785" s="62" t="s">
        <v>1969</v>
      </c>
      <c r="E785" s="63" t="s">
        <v>1970</v>
      </c>
    </row>
    <row r="786" spans="2:5" ht="33.75" customHeight="1">
      <c r="B786" s="60">
        <v>784</v>
      </c>
      <c r="C786" s="61" t="s">
        <v>1971</v>
      </c>
      <c r="D786" s="62" t="s">
        <v>1972</v>
      </c>
      <c r="E786" s="63"/>
    </row>
    <row r="787" spans="2:5" ht="33.75" customHeight="1">
      <c r="B787" s="60">
        <v>785</v>
      </c>
      <c r="C787" s="61" t="s">
        <v>1973</v>
      </c>
      <c r="D787" s="62" t="s">
        <v>1974</v>
      </c>
      <c r="E787" s="63"/>
    </row>
    <row r="788" spans="2:5" ht="33.75" customHeight="1">
      <c r="B788" s="60">
        <v>786</v>
      </c>
      <c r="C788" s="61" t="s">
        <v>1975</v>
      </c>
      <c r="D788" s="62" t="s">
        <v>1976</v>
      </c>
      <c r="E788" s="63" t="s">
        <v>1977</v>
      </c>
    </row>
    <row r="789" spans="2:5" ht="33.75" customHeight="1">
      <c r="B789" s="60">
        <v>787</v>
      </c>
      <c r="C789" s="61" t="s">
        <v>1978</v>
      </c>
      <c r="D789" s="62" t="s">
        <v>1979</v>
      </c>
      <c r="E789" s="63" t="s">
        <v>1980</v>
      </c>
    </row>
    <row r="790" spans="2:5" ht="33.75" customHeight="1">
      <c r="B790" s="60">
        <v>788</v>
      </c>
      <c r="C790" s="61" t="s">
        <v>1981</v>
      </c>
      <c r="D790" s="62" t="s">
        <v>1982</v>
      </c>
      <c r="E790" s="63" t="s">
        <v>1983</v>
      </c>
    </row>
    <row r="791" spans="2:5" ht="33.75" customHeight="1">
      <c r="B791" s="60">
        <v>789</v>
      </c>
      <c r="C791" s="61" t="s">
        <v>1984</v>
      </c>
      <c r="D791" s="62" t="s">
        <v>1985</v>
      </c>
      <c r="E791" s="63" t="s">
        <v>1986</v>
      </c>
    </row>
    <row r="792" spans="2:5" ht="33.75" customHeight="1">
      <c r="B792" s="60">
        <v>790</v>
      </c>
      <c r="C792" s="61" t="s">
        <v>1987</v>
      </c>
      <c r="D792" s="62" t="s">
        <v>1988</v>
      </c>
      <c r="E792" s="63"/>
    </row>
    <row r="793" spans="2:5" ht="33.75" customHeight="1">
      <c r="B793" s="60">
        <v>791</v>
      </c>
      <c r="C793" s="61" t="s">
        <v>1989</v>
      </c>
      <c r="D793" s="62" t="s">
        <v>1990</v>
      </c>
      <c r="E793" s="63" t="s">
        <v>1991</v>
      </c>
    </row>
    <row r="794" spans="2:5" ht="33.75" customHeight="1">
      <c r="B794" s="60">
        <v>792</v>
      </c>
      <c r="C794" s="61" t="s">
        <v>1992</v>
      </c>
      <c r="D794" s="62" t="s">
        <v>1993</v>
      </c>
      <c r="E794" s="63"/>
    </row>
    <row r="795" spans="2:5" ht="33.75" customHeight="1">
      <c r="B795" s="60">
        <v>793</v>
      </c>
      <c r="C795" s="61" t="s">
        <v>1994</v>
      </c>
      <c r="D795" s="62" t="s">
        <v>1995</v>
      </c>
      <c r="E795" s="63" t="s">
        <v>1996</v>
      </c>
    </row>
    <row r="796" spans="2:5" ht="33.75" customHeight="1">
      <c r="B796" s="60">
        <v>794</v>
      </c>
      <c r="C796" s="61" t="s">
        <v>1997</v>
      </c>
      <c r="D796" s="62" t="s">
        <v>1998</v>
      </c>
      <c r="E796" s="63" t="s">
        <v>1999</v>
      </c>
    </row>
    <row r="797" spans="2:5" ht="33.75" customHeight="1">
      <c r="B797" s="60">
        <v>795</v>
      </c>
      <c r="C797" s="61" t="s">
        <v>2000</v>
      </c>
      <c r="D797" s="62" t="s">
        <v>2001</v>
      </c>
      <c r="E797" s="63" t="s">
        <v>2002</v>
      </c>
    </row>
    <row r="798" spans="2:5" ht="33.75" customHeight="1">
      <c r="B798" s="60">
        <v>796</v>
      </c>
      <c r="C798" s="61" t="s">
        <v>2003</v>
      </c>
      <c r="D798" s="62" t="s">
        <v>2004</v>
      </c>
      <c r="E798" s="63" t="s">
        <v>2005</v>
      </c>
    </row>
    <row r="799" spans="2:5" ht="33.75" customHeight="1">
      <c r="B799" s="60">
        <v>797</v>
      </c>
      <c r="C799" s="61" t="s">
        <v>2006</v>
      </c>
      <c r="D799" s="62" t="s">
        <v>2007</v>
      </c>
      <c r="E799" s="63"/>
    </row>
    <row r="800" spans="2:5" ht="33.75" customHeight="1">
      <c r="B800" s="60">
        <v>798</v>
      </c>
      <c r="C800" s="61" t="s">
        <v>2008</v>
      </c>
      <c r="D800" s="62" t="s">
        <v>2009</v>
      </c>
      <c r="E800" s="63"/>
    </row>
    <row r="801" spans="2:5" ht="33.75" customHeight="1">
      <c r="B801" s="60">
        <v>799</v>
      </c>
      <c r="C801" s="61" t="s">
        <v>2010</v>
      </c>
      <c r="D801" s="62" t="s">
        <v>2011</v>
      </c>
      <c r="E801" s="63"/>
    </row>
    <row r="802" spans="2:5" ht="33.75" customHeight="1">
      <c r="B802" s="60">
        <v>800</v>
      </c>
      <c r="C802" s="61" t="s">
        <v>2012</v>
      </c>
      <c r="D802" s="62" t="s">
        <v>2013</v>
      </c>
      <c r="E802" s="63" t="s">
        <v>2014</v>
      </c>
    </row>
    <row r="803" spans="2:5" ht="33.75" customHeight="1">
      <c r="B803" s="60">
        <v>801</v>
      </c>
      <c r="C803" s="61" t="s">
        <v>2015</v>
      </c>
      <c r="D803" s="62" t="s">
        <v>2016</v>
      </c>
      <c r="E803" s="63"/>
    </row>
    <row r="804" spans="2:5" ht="33.75" customHeight="1">
      <c r="B804" s="60">
        <v>802</v>
      </c>
      <c r="C804" s="61" t="s">
        <v>2017</v>
      </c>
      <c r="D804" s="62" t="s">
        <v>2018</v>
      </c>
      <c r="E804" s="63" t="s">
        <v>2019</v>
      </c>
    </row>
    <row r="805" spans="2:5" ht="33.75" customHeight="1">
      <c r="B805" s="60">
        <v>803</v>
      </c>
      <c r="C805" s="61" t="s">
        <v>2020</v>
      </c>
      <c r="D805" s="62" t="s">
        <v>2021</v>
      </c>
      <c r="E805" s="63" t="s">
        <v>2022</v>
      </c>
    </row>
    <row r="806" spans="2:5" ht="33.75" customHeight="1">
      <c r="B806" s="60">
        <v>804</v>
      </c>
      <c r="C806" s="61" t="s">
        <v>2023</v>
      </c>
      <c r="D806" s="62" t="s">
        <v>2024</v>
      </c>
      <c r="E806" s="63" t="s">
        <v>2025</v>
      </c>
    </row>
    <row r="807" spans="2:5" ht="33.75" customHeight="1">
      <c r="B807" s="60">
        <v>805</v>
      </c>
      <c r="C807" s="61" t="s">
        <v>2026</v>
      </c>
      <c r="D807" s="62" t="s">
        <v>2027</v>
      </c>
      <c r="E807" s="63" t="s">
        <v>2028</v>
      </c>
    </row>
    <row r="808" spans="2:5" ht="33.75" customHeight="1">
      <c r="B808" s="60">
        <v>806</v>
      </c>
      <c r="C808" s="61" t="s">
        <v>2029</v>
      </c>
      <c r="D808" s="62" t="s">
        <v>2030</v>
      </c>
      <c r="E808" s="63"/>
    </row>
    <row r="809" spans="2:5" ht="33.75" customHeight="1">
      <c r="B809" s="60">
        <v>807</v>
      </c>
      <c r="C809" s="61" t="s">
        <v>2031</v>
      </c>
      <c r="D809" s="62" t="s">
        <v>2032</v>
      </c>
      <c r="E809" s="63" t="s">
        <v>2033</v>
      </c>
    </row>
    <row r="810" spans="2:5" ht="33.75" customHeight="1">
      <c r="B810" s="60">
        <v>808</v>
      </c>
      <c r="C810" s="61" t="s">
        <v>2034</v>
      </c>
      <c r="D810" s="62" t="s">
        <v>2035</v>
      </c>
      <c r="E810" s="63"/>
    </row>
    <row r="811" spans="2:5" ht="33.75" customHeight="1">
      <c r="B811" s="60">
        <v>809</v>
      </c>
      <c r="C811" s="61" t="s">
        <v>2036</v>
      </c>
      <c r="D811" s="62" t="s">
        <v>2037</v>
      </c>
      <c r="E811" s="63"/>
    </row>
    <row r="812" spans="2:5" ht="33.75" customHeight="1">
      <c r="B812" s="60">
        <v>810</v>
      </c>
      <c r="C812" s="61" t="s">
        <v>2038</v>
      </c>
      <c r="D812" s="62" t="s">
        <v>2039</v>
      </c>
      <c r="E812" s="63" t="s">
        <v>2040</v>
      </c>
    </row>
    <row r="813" spans="2:5" ht="33.75" customHeight="1">
      <c r="B813" s="60">
        <v>811</v>
      </c>
      <c r="C813" s="61" t="s">
        <v>2041</v>
      </c>
      <c r="D813" s="62" t="s">
        <v>2042</v>
      </c>
      <c r="E813" s="63" t="s">
        <v>2043</v>
      </c>
    </row>
    <row r="814" spans="2:5" ht="33.75" customHeight="1">
      <c r="B814" s="60">
        <v>812</v>
      </c>
      <c r="C814" s="61" t="s">
        <v>2044</v>
      </c>
      <c r="D814" s="62" t="s">
        <v>2045</v>
      </c>
      <c r="E814" s="63" t="s">
        <v>2046</v>
      </c>
    </row>
    <row r="815" spans="2:5" ht="33.75" customHeight="1">
      <c r="B815" s="60">
        <v>813</v>
      </c>
      <c r="C815" s="61" t="s">
        <v>2047</v>
      </c>
      <c r="D815" s="62" t="s">
        <v>2048</v>
      </c>
      <c r="E815" s="63"/>
    </row>
    <row r="816" spans="2:5" ht="33.75" customHeight="1">
      <c r="B816" s="60">
        <v>814</v>
      </c>
      <c r="C816" s="61" t="s">
        <v>2049</v>
      </c>
      <c r="D816" s="62" t="s">
        <v>2050</v>
      </c>
      <c r="E816" s="63" t="s">
        <v>2051</v>
      </c>
    </row>
    <row r="817" spans="2:5" ht="33.75" customHeight="1">
      <c r="B817" s="60">
        <v>815</v>
      </c>
      <c r="C817" s="61" t="s">
        <v>2052</v>
      </c>
      <c r="D817" s="62" t="s">
        <v>2053</v>
      </c>
      <c r="E817" s="63" t="s">
        <v>2054</v>
      </c>
    </row>
    <row r="818" spans="2:5" ht="33.75" customHeight="1">
      <c r="B818" s="60">
        <v>816</v>
      </c>
      <c r="C818" s="61" t="s">
        <v>2055</v>
      </c>
      <c r="D818" s="62" t="s">
        <v>2056</v>
      </c>
      <c r="E818" s="63"/>
    </row>
    <row r="819" spans="2:5" ht="33.75" customHeight="1">
      <c r="B819" s="60">
        <v>817</v>
      </c>
      <c r="C819" s="61" t="s">
        <v>2057</v>
      </c>
      <c r="D819" s="62" t="s">
        <v>2058</v>
      </c>
      <c r="E819" s="63" t="s">
        <v>2059</v>
      </c>
    </row>
    <row r="820" spans="2:5" ht="33.75" customHeight="1">
      <c r="B820" s="60">
        <v>818</v>
      </c>
      <c r="C820" s="61" t="s">
        <v>2060</v>
      </c>
      <c r="D820" s="62" t="s">
        <v>2061</v>
      </c>
      <c r="E820" s="63" t="s">
        <v>2062</v>
      </c>
    </row>
    <row r="821" spans="2:5" ht="33.75" customHeight="1">
      <c r="B821" s="60">
        <v>819</v>
      </c>
      <c r="C821" s="61" t="s">
        <v>2063</v>
      </c>
      <c r="D821" s="62" t="s">
        <v>2064</v>
      </c>
      <c r="E821" s="63"/>
    </row>
    <row r="822" spans="2:5" ht="33.75" customHeight="1">
      <c r="B822" s="60">
        <v>820</v>
      </c>
      <c r="C822" s="61" t="s">
        <v>2065</v>
      </c>
      <c r="D822" s="62" t="s">
        <v>2066</v>
      </c>
      <c r="E822" s="63" t="s">
        <v>2067</v>
      </c>
    </row>
    <row r="823" spans="2:5" ht="33.75" customHeight="1">
      <c r="B823" s="60">
        <v>821</v>
      </c>
      <c r="C823" s="61" t="s">
        <v>2068</v>
      </c>
      <c r="D823" s="62" t="s">
        <v>2069</v>
      </c>
      <c r="E823" s="63" t="s">
        <v>2070</v>
      </c>
    </row>
    <row r="824" spans="2:5" ht="33.75" customHeight="1">
      <c r="B824" s="60">
        <v>822</v>
      </c>
      <c r="C824" s="61" t="s">
        <v>2071</v>
      </c>
      <c r="D824" s="62" t="s">
        <v>2072</v>
      </c>
      <c r="E824" s="63"/>
    </row>
    <row r="825" spans="2:5" ht="33.75" customHeight="1">
      <c r="B825" s="60">
        <v>823</v>
      </c>
      <c r="C825" s="61" t="s">
        <v>2073</v>
      </c>
      <c r="D825" s="62" t="s">
        <v>2074</v>
      </c>
      <c r="E825" s="63" t="s">
        <v>2075</v>
      </c>
    </row>
    <row r="826" spans="2:5" ht="33.75" customHeight="1">
      <c r="B826" s="60">
        <v>824</v>
      </c>
      <c r="C826" s="61" t="s">
        <v>2076</v>
      </c>
      <c r="D826" s="62" t="s">
        <v>2077</v>
      </c>
      <c r="E826" s="63" t="s">
        <v>2078</v>
      </c>
    </row>
    <row r="827" spans="2:5" ht="33.75" customHeight="1">
      <c r="B827" s="60">
        <v>825</v>
      </c>
      <c r="C827" s="61" t="s">
        <v>2079</v>
      </c>
      <c r="D827" s="62" t="s">
        <v>2080</v>
      </c>
      <c r="E827" s="63" t="s">
        <v>2081</v>
      </c>
    </row>
    <row r="828" spans="2:5" ht="33.75" customHeight="1">
      <c r="B828" s="60">
        <v>826</v>
      </c>
      <c r="C828" s="61" t="s">
        <v>2082</v>
      </c>
      <c r="D828" s="62" t="s">
        <v>2083</v>
      </c>
      <c r="E828" s="63" t="s">
        <v>2084</v>
      </c>
    </row>
    <row r="829" spans="2:5" ht="33.75" customHeight="1">
      <c r="B829" s="60">
        <v>827</v>
      </c>
      <c r="C829" s="61" t="s">
        <v>2085</v>
      </c>
      <c r="D829" s="62" t="s">
        <v>2086</v>
      </c>
      <c r="E829" s="63" t="s">
        <v>2087</v>
      </c>
    </row>
    <row r="830" spans="2:5" ht="33.75" customHeight="1">
      <c r="B830" s="60">
        <v>828</v>
      </c>
      <c r="C830" s="61" t="s">
        <v>2088</v>
      </c>
      <c r="D830" s="62" t="s">
        <v>2089</v>
      </c>
      <c r="E830" s="63"/>
    </row>
    <row r="831" spans="2:5" ht="33.75" customHeight="1">
      <c r="B831" s="60">
        <v>829</v>
      </c>
      <c r="C831" s="61" t="s">
        <v>2090</v>
      </c>
      <c r="D831" s="62" t="s">
        <v>2091</v>
      </c>
      <c r="E831" s="63"/>
    </row>
    <row r="832" spans="2:5" ht="33.75" customHeight="1">
      <c r="B832" s="60">
        <v>830</v>
      </c>
      <c r="C832" s="61" t="s">
        <v>2092</v>
      </c>
      <c r="D832" s="62" t="s">
        <v>2093</v>
      </c>
      <c r="E832" s="63" t="s">
        <v>2094</v>
      </c>
    </row>
    <row r="833" spans="2:5" ht="33.75" customHeight="1">
      <c r="B833" s="60">
        <v>831</v>
      </c>
      <c r="C833" s="61" t="s">
        <v>2095</v>
      </c>
      <c r="D833" s="62" t="s">
        <v>2096</v>
      </c>
      <c r="E833" s="63"/>
    </row>
    <row r="834" spans="2:5" ht="33.75" customHeight="1">
      <c r="B834" s="60">
        <v>832</v>
      </c>
      <c r="C834" s="61" t="s">
        <v>2097</v>
      </c>
      <c r="D834" s="62" t="s">
        <v>2098</v>
      </c>
      <c r="E834" s="63"/>
    </row>
    <row r="835" spans="2:5" ht="33.75" customHeight="1">
      <c r="B835" s="60">
        <v>833</v>
      </c>
      <c r="C835" s="61" t="s">
        <v>2099</v>
      </c>
      <c r="D835" s="62" t="s">
        <v>2100</v>
      </c>
      <c r="E835" s="63" t="s">
        <v>2101</v>
      </c>
    </row>
    <row r="836" spans="2:5" ht="33.75" customHeight="1">
      <c r="B836" s="60">
        <v>834</v>
      </c>
      <c r="C836" s="61" t="s">
        <v>2102</v>
      </c>
      <c r="D836" s="62" t="s">
        <v>2103</v>
      </c>
      <c r="E836" s="63" t="s">
        <v>2104</v>
      </c>
    </row>
    <row r="837" spans="2:5" ht="33.75" customHeight="1">
      <c r="B837" s="60">
        <v>835</v>
      </c>
      <c r="C837" s="61" t="s">
        <v>2105</v>
      </c>
      <c r="D837" s="62" t="s">
        <v>2106</v>
      </c>
      <c r="E837" s="63"/>
    </row>
    <row r="838" spans="2:5" ht="33.75" customHeight="1">
      <c r="B838" s="60">
        <v>836</v>
      </c>
      <c r="C838" s="61" t="s">
        <v>2107</v>
      </c>
      <c r="D838" s="62" t="s">
        <v>2108</v>
      </c>
      <c r="E838" s="63" t="s">
        <v>2109</v>
      </c>
    </row>
    <row r="839" spans="2:5" ht="33.75" customHeight="1">
      <c r="B839" s="60">
        <v>837</v>
      </c>
      <c r="C839" s="61" t="s">
        <v>2110</v>
      </c>
      <c r="D839" s="62" t="s">
        <v>2111</v>
      </c>
      <c r="E839" s="63" t="s">
        <v>2112</v>
      </c>
    </row>
    <row r="840" spans="2:5" ht="33.75" customHeight="1">
      <c r="B840" s="60">
        <v>838</v>
      </c>
      <c r="C840" s="61" t="s">
        <v>2113</v>
      </c>
      <c r="D840" s="62" t="s">
        <v>2114</v>
      </c>
      <c r="E840" s="63" t="s">
        <v>2115</v>
      </c>
    </row>
    <row r="841" spans="2:5" ht="33.75" customHeight="1">
      <c r="B841" s="60">
        <v>839</v>
      </c>
      <c r="C841" s="61" t="s">
        <v>2116</v>
      </c>
      <c r="D841" s="62" t="s">
        <v>2117</v>
      </c>
      <c r="E841" s="63" t="s">
        <v>2118</v>
      </c>
    </row>
    <row r="842" spans="2:5" ht="33.75" customHeight="1">
      <c r="B842" s="60">
        <v>840</v>
      </c>
      <c r="C842" s="61" t="s">
        <v>2119</v>
      </c>
      <c r="D842" s="62" t="s">
        <v>2120</v>
      </c>
      <c r="E842" s="63" t="s">
        <v>2121</v>
      </c>
    </row>
    <row r="843" spans="2:5" ht="33.75" customHeight="1">
      <c r="B843" s="60">
        <v>841</v>
      </c>
      <c r="C843" s="61" t="s">
        <v>2122</v>
      </c>
      <c r="D843" s="62" t="s">
        <v>2123</v>
      </c>
      <c r="E843" s="63" t="s">
        <v>2124</v>
      </c>
    </row>
    <row r="844" spans="2:5" ht="33.75" customHeight="1">
      <c r="B844" s="60">
        <v>842</v>
      </c>
      <c r="C844" s="61" t="s">
        <v>2125</v>
      </c>
      <c r="D844" s="62" t="s">
        <v>2126</v>
      </c>
      <c r="E844" s="63"/>
    </row>
    <row r="845" spans="2:5" ht="33.75" customHeight="1">
      <c r="B845" s="60">
        <v>843</v>
      </c>
      <c r="C845" s="61" t="s">
        <v>2127</v>
      </c>
      <c r="D845" s="62" t="s">
        <v>2128</v>
      </c>
      <c r="E845" s="63" t="s">
        <v>2129</v>
      </c>
    </row>
    <row r="846" spans="2:5" ht="33.75" customHeight="1">
      <c r="B846" s="60">
        <v>844</v>
      </c>
      <c r="C846" s="61" t="s">
        <v>2130</v>
      </c>
      <c r="D846" s="62" t="s">
        <v>2131</v>
      </c>
      <c r="E846" s="63"/>
    </row>
    <row r="847" spans="2:5" ht="33.75" customHeight="1">
      <c r="B847" s="60">
        <v>845</v>
      </c>
      <c r="C847" s="61" t="s">
        <v>2132</v>
      </c>
      <c r="D847" s="62" t="s">
        <v>2133</v>
      </c>
      <c r="E847" s="63" t="s">
        <v>2134</v>
      </c>
    </row>
    <row r="848" spans="2:5" ht="33.75" customHeight="1">
      <c r="B848" s="60">
        <v>846</v>
      </c>
      <c r="C848" s="61" t="s">
        <v>2135</v>
      </c>
      <c r="D848" s="62" t="s">
        <v>2136</v>
      </c>
      <c r="E848" s="63"/>
    </row>
    <row r="849" spans="2:5" ht="33.75" customHeight="1">
      <c r="B849" s="60">
        <v>847</v>
      </c>
      <c r="C849" s="61" t="s">
        <v>2137</v>
      </c>
      <c r="D849" s="62" t="s">
        <v>2138</v>
      </c>
      <c r="E849" s="63" t="s">
        <v>2139</v>
      </c>
    </row>
    <row r="850" spans="2:5" ht="33.75" customHeight="1">
      <c r="B850" s="60">
        <v>848</v>
      </c>
      <c r="C850" s="61" t="s">
        <v>2140</v>
      </c>
      <c r="D850" s="62" t="s">
        <v>2141</v>
      </c>
      <c r="E850" s="63" t="s">
        <v>2142</v>
      </c>
    </row>
    <row r="851" spans="2:5" ht="33.75" customHeight="1">
      <c r="B851" s="60">
        <v>849</v>
      </c>
      <c r="C851" s="61" t="s">
        <v>2143</v>
      </c>
      <c r="D851" s="62" t="s">
        <v>2144</v>
      </c>
      <c r="E851" s="63"/>
    </row>
    <row r="852" spans="2:5" ht="33.75" customHeight="1">
      <c r="B852" s="60">
        <v>850</v>
      </c>
      <c r="C852" s="61" t="s">
        <v>2145</v>
      </c>
      <c r="D852" s="62" t="s">
        <v>2146</v>
      </c>
      <c r="E852" s="63" t="s">
        <v>2147</v>
      </c>
    </row>
    <row r="853" spans="2:5" ht="33.75" customHeight="1">
      <c r="B853" s="60">
        <v>851</v>
      </c>
      <c r="C853" s="61" t="s">
        <v>2148</v>
      </c>
      <c r="D853" s="62" t="s">
        <v>2149</v>
      </c>
      <c r="E853" s="63" t="s">
        <v>2150</v>
      </c>
    </row>
    <row r="854" spans="2:5" ht="33.75" customHeight="1">
      <c r="B854" s="60">
        <v>852</v>
      </c>
      <c r="C854" s="61" t="s">
        <v>2151</v>
      </c>
      <c r="D854" s="62" t="s">
        <v>2152</v>
      </c>
      <c r="E854" s="63"/>
    </row>
    <row r="855" spans="2:5" ht="33.75" customHeight="1">
      <c r="B855" s="60">
        <v>853</v>
      </c>
      <c r="C855" s="61" t="s">
        <v>2153</v>
      </c>
      <c r="D855" s="62" t="s">
        <v>2154</v>
      </c>
      <c r="E855" s="63" t="s">
        <v>2155</v>
      </c>
    </row>
    <row r="856" spans="2:5" ht="33.75" customHeight="1">
      <c r="B856" s="60">
        <v>854</v>
      </c>
      <c r="C856" s="61" t="s">
        <v>2156</v>
      </c>
      <c r="D856" s="62" t="s">
        <v>2157</v>
      </c>
      <c r="E856" s="63"/>
    </row>
    <row r="857" spans="2:5" ht="33.75" customHeight="1">
      <c r="B857" s="60">
        <v>855</v>
      </c>
      <c r="C857" s="61" t="s">
        <v>2158</v>
      </c>
      <c r="D857" s="62" t="s">
        <v>2159</v>
      </c>
      <c r="E857" s="63"/>
    </row>
    <row r="858" spans="2:5" ht="33.75" customHeight="1">
      <c r="B858" s="60">
        <v>856</v>
      </c>
      <c r="C858" s="61" t="s">
        <v>2160</v>
      </c>
      <c r="D858" s="62" t="s">
        <v>2161</v>
      </c>
      <c r="E858" s="63"/>
    </row>
    <row r="859" spans="2:5" ht="33.75" customHeight="1">
      <c r="B859" s="60">
        <v>857</v>
      </c>
      <c r="C859" s="61" t="s">
        <v>2162</v>
      </c>
      <c r="D859" s="62" t="s">
        <v>2163</v>
      </c>
      <c r="E859" s="63" t="s">
        <v>2164</v>
      </c>
    </row>
    <row r="860" spans="2:5" ht="33.75" customHeight="1">
      <c r="B860" s="60">
        <v>858</v>
      </c>
      <c r="C860" s="61" t="s">
        <v>2165</v>
      </c>
      <c r="D860" s="62" t="s">
        <v>2166</v>
      </c>
      <c r="E860" s="63" t="s">
        <v>2167</v>
      </c>
    </row>
    <row r="861" spans="2:5" ht="33.75" customHeight="1">
      <c r="B861" s="60">
        <v>859</v>
      </c>
      <c r="C861" s="61" t="s">
        <v>2168</v>
      </c>
      <c r="D861" s="62" t="s">
        <v>2169</v>
      </c>
      <c r="E861" s="63"/>
    </row>
    <row r="862" spans="2:5" ht="33.75" customHeight="1">
      <c r="B862" s="60">
        <v>860</v>
      </c>
      <c r="C862" s="61" t="s">
        <v>2170</v>
      </c>
      <c r="D862" s="62" t="s">
        <v>2171</v>
      </c>
      <c r="E862" s="63" t="s">
        <v>2172</v>
      </c>
    </row>
    <row r="863" spans="2:5" ht="33.75" customHeight="1">
      <c r="B863" s="60">
        <v>861</v>
      </c>
      <c r="C863" s="61" t="s">
        <v>2173</v>
      </c>
      <c r="D863" s="62" t="s">
        <v>2174</v>
      </c>
      <c r="E863" s="63"/>
    </row>
    <row r="864" spans="2:5" ht="33.75" customHeight="1">
      <c r="B864" s="60">
        <v>862</v>
      </c>
      <c r="C864" s="61" t="s">
        <v>2175</v>
      </c>
      <c r="D864" s="62" t="s">
        <v>2176</v>
      </c>
      <c r="E864" s="63" t="s">
        <v>2177</v>
      </c>
    </row>
    <row r="865" spans="2:5" ht="33.75" customHeight="1">
      <c r="B865" s="60">
        <v>863</v>
      </c>
      <c r="C865" s="61" t="s">
        <v>2178</v>
      </c>
      <c r="D865" s="62" t="s">
        <v>2179</v>
      </c>
      <c r="E865" s="63"/>
    </row>
    <row r="866" spans="2:5" ht="33.75" customHeight="1">
      <c r="B866" s="60">
        <v>864</v>
      </c>
      <c r="C866" s="61" t="s">
        <v>2180</v>
      </c>
      <c r="D866" s="62" t="s">
        <v>2181</v>
      </c>
      <c r="E866" s="63" t="s">
        <v>2182</v>
      </c>
    </row>
    <row r="867" spans="2:5" ht="33.75" customHeight="1">
      <c r="B867" s="60">
        <v>865</v>
      </c>
      <c r="C867" s="61" t="s">
        <v>2183</v>
      </c>
      <c r="D867" s="62" t="s">
        <v>2184</v>
      </c>
      <c r="E867" s="63"/>
    </row>
    <row r="868" spans="2:5" ht="33.75" customHeight="1">
      <c r="B868" s="60">
        <v>866</v>
      </c>
      <c r="C868" s="61" t="s">
        <v>2185</v>
      </c>
      <c r="D868" s="62" t="s">
        <v>2186</v>
      </c>
      <c r="E868" s="63" t="s">
        <v>2187</v>
      </c>
    </row>
    <row r="869" spans="2:5" ht="33.75" customHeight="1">
      <c r="B869" s="60">
        <v>867</v>
      </c>
      <c r="C869" s="61" t="s">
        <v>2188</v>
      </c>
      <c r="D869" s="62" t="s">
        <v>2189</v>
      </c>
      <c r="E869" s="63" t="s">
        <v>2190</v>
      </c>
    </row>
    <row r="870" spans="2:5" ht="33.75" customHeight="1">
      <c r="B870" s="60">
        <v>868</v>
      </c>
      <c r="C870" s="61" t="s">
        <v>2191</v>
      </c>
      <c r="D870" s="62" t="s">
        <v>2192</v>
      </c>
      <c r="E870" s="63" t="s">
        <v>2193</v>
      </c>
    </row>
    <row r="871" spans="2:5" ht="33.75" customHeight="1">
      <c r="B871" s="60">
        <v>869</v>
      </c>
      <c r="C871" s="61" t="s">
        <v>2194</v>
      </c>
      <c r="D871" s="62" t="s">
        <v>2195</v>
      </c>
      <c r="E871" s="63"/>
    </row>
    <row r="872" spans="2:5" ht="33.75" customHeight="1">
      <c r="B872" s="60">
        <v>870</v>
      </c>
      <c r="C872" s="61" t="s">
        <v>2196</v>
      </c>
      <c r="D872" s="62" t="s">
        <v>2197</v>
      </c>
      <c r="E872" s="63"/>
    </row>
    <row r="873" spans="2:5" ht="33.75" customHeight="1">
      <c r="B873" s="60">
        <v>871</v>
      </c>
      <c r="C873" s="61" t="s">
        <v>2198</v>
      </c>
      <c r="D873" s="62" t="s">
        <v>2199</v>
      </c>
      <c r="E873" s="63"/>
    </row>
    <row r="874" spans="2:5" ht="33.75" customHeight="1">
      <c r="B874" s="60">
        <v>872</v>
      </c>
      <c r="C874" s="61" t="s">
        <v>2200</v>
      </c>
      <c r="D874" s="62" t="s">
        <v>2201</v>
      </c>
      <c r="E874" s="63" t="s">
        <v>2202</v>
      </c>
    </row>
    <row r="875" spans="2:5" ht="33.75" customHeight="1">
      <c r="B875" s="60">
        <v>873</v>
      </c>
      <c r="C875" s="61" t="s">
        <v>2203</v>
      </c>
      <c r="D875" s="62" t="s">
        <v>2204</v>
      </c>
      <c r="E875" s="63" t="s">
        <v>2205</v>
      </c>
    </row>
    <row r="876" spans="2:5" ht="33.75" customHeight="1">
      <c r="B876" s="60">
        <v>874</v>
      </c>
      <c r="C876" s="61" t="s">
        <v>2206</v>
      </c>
      <c r="D876" s="62" t="s">
        <v>2207</v>
      </c>
      <c r="E876" s="63"/>
    </row>
    <row r="877" spans="2:5" ht="33.75" customHeight="1">
      <c r="B877" s="60">
        <v>875</v>
      </c>
      <c r="C877" s="61" t="s">
        <v>2208</v>
      </c>
      <c r="D877" s="62" t="s">
        <v>2209</v>
      </c>
      <c r="E877" s="63"/>
    </row>
    <row r="878" spans="2:5" ht="33.75" customHeight="1">
      <c r="B878" s="60">
        <v>876</v>
      </c>
      <c r="C878" s="61" t="s">
        <v>2210</v>
      </c>
      <c r="D878" s="62" t="s">
        <v>2211</v>
      </c>
      <c r="E878" s="63"/>
    </row>
    <row r="879" spans="2:5" ht="33.75" customHeight="1">
      <c r="B879" s="60">
        <v>877</v>
      </c>
      <c r="C879" s="61" t="s">
        <v>2212</v>
      </c>
      <c r="D879" s="62" t="s">
        <v>2213</v>
      </c>
      <c r="E879" s="63" t="s">
        <v>2214</v>
      </c>
    </row>
    <row r="880" spans="2:5" ht="33.75" customHeight="1">
      <c r="B880" s="60">
        <v>878</v>
      </c>
      <c r="C880" s="61" t="s">
        <v>2215</v>
      </c>
      <c r="D880" s="62" t="s">
        <v>2216</v>
      </c>
      <c r="E880" s="63" t="s">
        <v>2217</v>
      </c>
    </row>
    <row r="881" spans="2:5" ht="33.75" customHeight="1">
      <c r="B881" s="60">
        <v>879</v>
      </c>
      <c r="C881" s="61" t="s">
        <v>2218</v>
      </c>
      <c r="D881" s="62" t="s">
        <v>2219</v>
      </c>
      <c r="E881" s="63"/>
    </row>
    <row r="882" spans="2:5" ht="33.75" customHeight="1">
      <c r="B882" s="60">
        <v>880</v>
      </c>
      <c r="C882" s="61" t="s">
        <v>2220</v>
      </c>
      <c r="D882" s="62" t="s">
        <v>2221</v>
      </c>
      <c r="E882" s="63"/>
    </row>
    <row r="883" spans="2:5" ht="33.75" customHeight="1">
      <c r="B883" s="60">
        <v>881</v>
      </c>
      <c r="C883" s="61" t="s">
        <v>2222</v>
      </c>
      <c r="D883" s="62" t="s">
        <v>2223</v>
      </c>
      <c r="E883" s="63" t="s">
        <v>2224</v>
      </c>
    </row>
    <row r="884" spans="2:5" ht="33.75" customHeight="1">
      <c r="B884" s="60">
        <v>882</v>
      </c>
      <c r="C884" s="61" t="s">
        <v>2225</v>
      </c>
      <c r="D884" s="62" t="s">
        <v>2226</v>
      </c>
      <c r="E884" s="63" t="s">
        <v>2227</v>
      </c>
    </row>
    <row r="885" spans="2:5" ht="33.75" customHeight="1">
      <c r="B885" s="60">
        <v>883</v>
      </c>
      <c r="C885" s="61" t="s">
        <v>2228</v>
      </c>
      <c r="D885" s="62" t="s">
        <v>2229</v>
      </c>
      <c r="E885" s="63"/>
    </row>
    <row r="886" spans="2:5" ht="33.75" customHeight="1">
      <c r="B886" s="60">
        <v>884</v>
      </c>
      <c r="C886" s="61" t="s">
        <v>2230</v>
      </c>
      <c r="D886" s="62" t="s">
        <v>2231</v>
      </c>
      <c r="E886" s="63"/>
    </row>
    <row r="887" spans="2:5" ht="33.75" customHeight="1">
      <c r="B887" s="60">
        <v>885</v>
      </c>
      <c r="C887" s="61" t="s">
        <v>2232</v>
      </c>
      <c r="D887" s="62" t="s">
        <v>2233</v>
      </c>
      <c r="E887" s="63" t="s">
        <v>2234</v>
      </c>
    </row>
    <row r="888" spans="2:5" ht="33.75" customHeight="1">
      <c r="B888" s="60">
        <v>886</v>
      </c>
      <c r="C888" s="61" t="s">
        <v>2235</v>
      </c>
      <c r="D888" s="62" t="s">
        <v>2236</v>
      </c>
      <c r="E888" s="63" t="s">
        <v>2237</v>
      </c>
    </row>
    <row r="889" spans="2:5" ht="33.75" customHeight="1">
      <c r="B889" s="60">
        <v>887</v>
      </c>
      <c r="C889" s="61" t="s">
        <v>2238</v>
      </c>
      <c r="D889" s="62" t="s">
        <v>2239</v>
      </c>
      <c r="E889" s="63" t="s">
        <v>2240</v>
      </c>
    </row>
    <row r="890" spans="2:5" ht="33.75" customHeight="1">
      <c r="B890" s="60">
        <v>888</v>
      </c>
      <c r="C890" s="61" t="s">
        <v>2241</v>
      </c>
      <c r="D890" s="62" t="s">
        <v>2242</v>
      </c>
      <c r="E890" s="63" t="s">
        <v>2243</v>
      </c>
    </row>
    <row r="891" spans="2:5" ht="33.75" customHeight="1">
      <c r="B891" s="60">
        <v>889</v>
      </c>
      <c r="C891" s="61" t="s">
        <v>2244</v>
      </c>
      <c r="D891" s="62" t="s">
        <v>2245</v>
      </c>
      <c r="E891" s="63"/>
    </row>
    <row r="892" spans="2:5" ht="33.75" customHeight="1">
      <c r="B892" s="60">
        <v>890</v>
      </c>
      <c r="C892" s="61" t="s">
        <v>2246</v>
      </c>
      <c r="D892" s="62" t="s">
        <v>2247</v>
      </c>
      <c r="E892" s="63" t="s">
        <v>2248</v>
      </c>
    </row>
    <row r="893" spans="2:5" ht="33.75" customHeight="1">
      <c r="B893" s="60">
        <v>891</v>
      </c>
      <c r="C893" s="61" t="s">
        <v>2249</v>
      </c>
      <c r="D893" s="62" t="s">
        <v>2250</v>
      </c>
      <c r="E893" s="63"/>
    </row>
    <row r="894" spans="2:5" ht="33.75" customHeight="1">
      <c r="B894" s="60">
        <v>892</v>
      </c>
      <c r="C894" s="61" t="s">
        <v>2251</v>
      </c>
      <c r="D894" s="62" t="s">
        <v>2252</v>
      </c>
      <c r="E894" s="63" t="s">
        <v>2253</v>
      </c>
    </row>
    <row r="895" spans="2:5" ht="33.75" customHeight="1">
      <c r="B895" s="60">
        <v>893</v>
      </c>
      <c r="C895" s="61" t="s">
        <v>2254</v>
      </c>
      <c r="D895" s="62" t="s">
        <v>2255</v>
      </c>
      <c r="E895" s="63" t="s">
        <v>2256</v>
      </c>
    </row>
    <row r="896" spans="2:5" ht="33.75" customHeight="1">
      <c r="B896" s="60">
        <v>894</v>
      </c>
      <c r="C896" s="61" t="s">
        <v>2257</v>
      </c>
      <c r="D896" s="62" t="s">
        <v>2258</v>
      </c>
      <c r="E896" s="63" t="s">
        <v>2259</v>
      </c>
    </row>
    <row r="897" spans="2:5" ht="33.75" customHeight="1">
      <c r="B897" s="60">
        <v>895</v>
      </c>
      <c r="C897" s="61" t="s">
        <v>2260</v>
      </c>
      <c r="D897" s="62" t="s">
        <v>2261</v>
      </c>
      <c r="E897" s="63"/>
    </row>
    <row r="898" spans="2:5" ht="33.75" customHeight="1">
      <c r="B898" s="60">
        <v>896</v>
      </c>
      <c r="C898" s="61" t="s">
        <v>2262</v>
      </c>
      <c r="D898" s="62" t="s">
        <v>2263</v>
      </c>
      <c r="E898" s="63" t="s">
        <v>2264</v>
      </c>
    </row>
    <row r="899" spans="2:5" ht="33.75" customHeight="1">
      <c r="B899" s="60">
        <v>897</v>
      </c>
      <c r="C899" s="61" t="s">
        <v>2265</v>
      </c>
      <c r="D899" s="62" t="s">
        <v>2266</v>
      </c>
      <c r="E899" s="63"/>
    </row>
    <row r="900" spans="2:5" ht="33.75" customHeight="1">
      <c r="B900" s="60">
        <v>898</v>
      </c>
      <c r="C900" s="61" t="s">
        <v>2267</v>
      </c>
      <c r="D900" s="62" t="s">
        <v>2268</v>
      </c>
      <c r="E900" s="63"/>
    </row>
    <row r="901" spans="2:5" ht="33.75" customHeight="1">
      <c r="B901" s="60">
        <v>899</v>
      </c>
      <c r="C901" s="61" t="s">
        <v>2269</v>
      </c>
      <c r="D901" s="62" t="s">
        <v>2270</v>
      </c>
      <c r="E901" s="63" t="s">
        <v>2271</v>
      </c>
    </row>
    <row r="902" spans="2:5" ht="33.75" customHeight="1">
      <c r="B902" s="60">
        <v>900</v>
      </c>
      <c r="C902" s="61" t="s">
        <v>2272</v>
      </c>
      <c r="D902" s="62" t="s">
        <v>2273</v>
      </c>
      <c r="E902" s="63" t="s">
        <v>2274</v>
      </c>
    </row>
    <row r="903" spans="2:5" ht="33.75" customHeight="1">
      <c r="B903" s="60">
        <v>901</v>
      </c>
      <c r="C903" s="61" t="s">
        <v>2275</v>
      </c>
      <c r="D903" s="62" t="s">
        <v>2276</v>
      </c>
      <c r="E903" s="63"/>
    </row>
    <row r="904" spans="2:5" ht="33.75" customHeight="1">
      <c r="B904" s="60">
        <v>902</v>
      </c>
      <c r="C904" s="61" t="s">
        <v>2277</v>
      </c>
      <c r="D904" s="62" t="s">
        <v>2278</v>
      </c>
      <c r="E904" s="63" t="s">
        <v>2279</v>
      </c>
    </row>
    <row r="905" spans="2:5" ht="33.75" customHeight="1">
      <c r="B905" s="60">
        <v>903</v>
      </c>
      <c r="C905" s="61" t="s">
        <v>2280</v>
      </c>
      <c r="D905" s="62" t="s">
        <v>2281</v>
      </c>
      <c r="E905" s="63" t="s">
        <v>2282</v>
      </c>
    </row>
    <row r="906" spans="2:5" ht="33.75" customHeight="1">
      <c r="B906" s="60">
        <v>904</v>
      </c>
      <c r="C906" s="61" t="s">
        <v>2283</v>
      </c>
      <c r="D906" s="62" t="s">
        <v>2284</v>
      </c>
      <c r="E906" s="63"/>
    </row>
    <row r="907" spans="2:5" ht="33.75" customHeight="1">
      <c r="B907" s="60">
        <v>905</v>
      </c>
      <c r="C907" s="61" t="s">
        <v>2285</v>
      </c>
      <c r="D907" s="62" t="s">
        <v>2286</v>
      </c>
      <c r="E907" s="63"/>
    </row>
    <row r="908" spans="2:5" ht="33.75" customHeight="1">
      <c r="B908" s="60">
        <v>906</v>
      </c>
      <c r="C908" s="61" t="s">
        <v>2287</v>
      </c>
      <c r="D908" s="62" t="s">
        <v>2288</v>
      </c>
      <c r="E908" s="63"/>
    </row>
    <row r="909" spans="2:5" ht="33.75" customHeight="1">
      <c r="B909" s="60">
        <v>907</v>
      </c>
      <c r="C909" s="61" t="s">
        <v>2289</v>
      </c>
      <c r="D909" s="62" t="s">
        <v>2290</v>
      </c>
      <c r="E909" s="63" t="s">
        <v>2291</v>
      </c>
    </row>
    <row r="910" spans="2:5" ht="33.75" customHeight="1">
      <c r="B910" s="60">
        <v>908</v>
      </c>
      <c r="C910" s="61" t="s">
        <v>2292</v>
      </c>
      <c r="D910" s="62" t="s">
        <v>2293</v>
      </c>
      <c r="E910" s="63" t="s">
        <v>2294</v>
      </c>
    </row>
    <row r="911" spans="2:5" ht="33.75" customHeight="1">
      <c r="B911" s="60">
        <v>909</v>
      </c>
      <c r="C911" s="61" t="s">
        <v>2295</v>
      </c>
      <c r="D911" s="62" t="s">
        <v>2296</v>
      </c>
      <c r="E911" s="63"/>
    </row>
    <row r="912" spans="2:5" ht="33.75" customHeight="1">
      <c r="B912" s="60">
        <v>910</v>
      </c>
      <c r="C912" s="61" t="s">
        <v>2297</v>
      </c>
      <c r="D912" s="62" t="s">
        <v>2298</v>
      </c>
      <c r="E912" s="63" t="s">
        <v>2299</v>
      </c>
    </row>
    <row r="913" spans="2:5" ht="33.75" customHeight="1">
      <c r="B913" s="60">
        <v>911</v>
      </c>
      <c r="C913" s="61" t="s">
        <v>2300</v>
      </c>
      <c r="D913" s="62" t="s">
        <v>2301</v>
      </c>
      <c r="E913" s="63"/>
    </row>
    <row r="914" spans="2:5" ht="33.75" customHeight="1">
      <c r="B914" s="60">
        <v>912</v>
      </c>
      <c r="C914" s="61" t="s">
        <v>2302</v>
      </c>
      <c r="D914" s="62" t="s">
        <v>2303</v>
      </c>
      <c r="E914" s="63"/>
    </row>
    <row r="915" spans="2:5" ht="33.75" customHeight="1">
      <c r="B915" s="60">
        <v>913</v>
      </c>
      <c r="C915" s="61" t="s">
        <v>2304</v>
      </c>
      <c r="D915" s="62" t="s">
        <v>2305</v>
      </c>
      <c r="E915" s="63" t="s">
        <v>2306</v>
      </c>
    </row>
    <row r="916" spans="2:5" ht="33.75" customHeight="1">
      <c r="B916" s="60">
        <v>914</v>
      </c>
      <c r="C916" s="61" t="s">
        <v>2307</v>
      </c>
      <c r="D916" s="62" t="s">
        <v>2308</v>
      </c>
      <c r="E916" s="63" t="s">
        <v>2309</v>
      </c>
    </row>
    <row r="917" spans="2:5" ht="33.75" customHeight="1">
      <c r="B917" s="60">
        <v>915</v>
      </c>
      <c r="C917" s="61" t="s">
        <v>2310</v>
      </c>
      <c r="D917" s="62" t="s">
        <v>2311</v>
      </c>
      <c r="E917" s="63" t="s">
        <v>2312</v>
      </c>
    </row>
    <row r="918" spans="2:5" ht="33.75" customHeight="1">
      <c r="B918" s="60">
        <v>916</v>
      </c>
      <c r="C918" s="61" t="s">
        <v>2313</v>
      </c>
      <c r="D918" s="62" t="s">
        <v>2314</v>
      </c>
      <c r="E918" s="63"/>
    </row>
    <row r="919" spans="2:5" ht="33.75" customHeight="1">
      <c r="B919" s="60">
        <v>917</v>
      </c>
      <c r="C919" s="61" t="s">
        <v>2315</v>
      </c>
      <c r="D919" s="62" t="s">
        <v>2316</v>
      </c>
      <c r="E919" s="63" t="s">
        <v>2317</v>
      </c>
    </row>
    <row r="920" spans="2:5" ht="33.75" customHeight="1">
      <c r="B920" s="60">
        <v>918</v>
      </c>
      <c r="C920" s="61" t="s">
        <v>2318</v>
      </c>
      <c r="D920" s="62" t="s">
        <v>2319</v>
      </c>
      <c r="E920" s="63" t="s">
        <v>2320</v>
      </c>
    </row>
    <row r="921" spans="2:5" ht="33.75" customHeight="1">
      <c r="B921" s="60">
        <v>919</v>
      </c>
      <c r="C921" s="61" t="s">
        <v>2321</v>
      </c>
      <c r="D921" s="62" t="s">
        <v>2322</v>
      </c>
      <c r="E921" s="63" t="s">
        <v>2323</v>
      </c>
    </row>
    <row r="922" spans="2:5" ht="33.75" customHeight="1">
      <c r="B922" s="60">
        <v>920</v>
      </c>
      <c r="C922" s="61" t="s">
        <v>2324</v>
      </c>
      <c r="D922" s="62" t="s">
        <v>2325</v>
      </c>
      <c r="E922" s="63" t="s">
        <v>2326</v>
      </c>
    </row>
    <row r="923" spans="2:5" ht="33.75" customHeight="1">
      <c r="B923" s="60">
        <v>921</v>
      </c>
      <c r="C923" s="61" t="s">
        <v>2327</v>
      </c>
      <c r="D923" s="62" t="s">
        <v>2328</v>
      </c>
      <c r="E923" s="63" t="s">
        <v>2329</v>
      </c>
    </row>
    <row r="924" spans="2:5" ht="33.75" customHeight="1">
      <c r="B924" s="60">
        <v>922</v>
      </c>
      <c r="C924" s="61" t="s">
        <v>2330</v>
      </c>
      <c r="D924" s="62" t="s">
        <v>2331</v>
      </c>
      <c r="E924" s="63"/>
    </row>
    <row r="925" spans="2:5" ht="33.75" customHeight="1">
      <c r="B925" s="60">
        <v>923</v>
      </c>
      <c r="C925" s="61" t="s">
        <v>2332</v>
      </c>
      <c r="D925" s="62" t="s">
        <v>2333</v>
      </c>
      <c r="E925" s="63"/>
    </row>
    <row r="926" spans="2:5" ht="33.75" customHeight="1">
      <c r="B926" s="60">
        <v>924</v>
      </c>
      <c r="C926" s="61" t="s">
        <v>2334</v>
      </c>
      <c r="D926" s="62" t="s">
        <v>2335</v>
      </c>
      <c r="E926" s="63"/>
    </row>
    <row r="927" spans="2:5" ht="33.75" customHeight="1">
      <c r="B927" s="60">
        <v>925</v>
      </c>
      <c r="C927" s="61" t="s">
        <v>2336</v>
      </c>
      <c r="D927" s="62" t="s">
        <v>2337</v>
      </c>
      <c r="E927" s="63"/>
    </row>
    <row r="928" spans="2:5" ht="33.75" customHeight="1">
      <c r="B928" s="60">
        <v>926</v>
      </c>
      <c r="C928" s="61" t="s">
        <v>2338</v>
      </c>
      <c r="D928" s="62" t="s">
        <v>2339</v>
      </c>
      <c r="E928" s="63" t="s">
        <v>2340</v>
      </c>
    </row>
    <row r="929" spans="2:5" ht="33.75" customHeight="1">
      <c r="B929" s="60">
        <v>927</v>
      </c>
      <c r="C929" s="61" t="s">
        <v>2341</v>
      </c>
      <c r="D929" s="62" t="s">
        <v>2342</v>
      </c>
      <c r="E929" s="63" t="s">
        <v>2343</v>
      </c>
    </row>
    <row r="930" spans="2:5" ht="33.75" customHeight="1">
      <c r="B930" s="60">
        <v>928</v>
      </c>
      <c r="C930" s="61" t="s">
        <v>2344</v>
      </c>
      <c r="D930" s="62" t="s">
        <v>2345</v>
      </c>
      <c r="E930" s="63" t="s">
        <v>2346</v>
      </c>
    </row>
    <row r="931" spans="2:5" ht="33.75" customHeight="1">
      <c r="B931" s="60">
        <v>929</v>
      </c>
      <c r="C931" s="61" t="s">
        <v>2347</v>
      </c>
      <c r="D931" s="62" t="s">
        <v>2348</v>
      </c>
      <c r="E931" s="63" t="s">
        <v>2349</v>
      </c>
    </row>
    <row r="932" spans="2:5" ht="33.75" customHeight="1">
      <c r="B932" s="60">
        <v>930</v>
      </c>
      <c r="C932" s="61" t="s">
        <v>2350</v>
      </c>
      <c r="D932" s="62" t="s">
        <v>2351</v>
      </c>
      <c r="E932" s="63"/>
    </row>
    <row r="933" spans="2:5" ht="33.75" customHeight="1">
      <c r="B933" s="60">
        <v>931</v>
      </c>
      <c r="C933" s="61" t="s">
        <v>2352</v>
      </c>
      <c r="D933" s="62" t="s">
        <v>2353</v>
      </c>
      <c r="E933" s="63"/>
    </row>
    <row r="934" spans="2:5" ht="33.75" customHeight="1">
      <c r="B934" s="60">
        <v>932</v>
      </c>
      <c r="C934" s="61" t="s">
        <v>2354</v>
      </c>
      <c r="D934" s="62" t="s">
        <v>2355</v>
      </c>
      <c r="E934" s="63" t="s">
        <v>2356</v>
      </c>
    </row>
    <row r="935" spans="2:5" ht="33.75" customHeight="1">
      <c r="B935" s="60">
        <v>933</v>
      </c>
      <c r="C935" s="61" t="s">
        <v>2357</v>
      </c>
      <c r="D935" s="62" t="s">
        <v>2358</v>
      </c>
      <c r="E935" s="63"/>
    </row>
    <row r="936" spans="2:5" ht="33.75" customHeight="1">
      <c r="B936" s="60">
        <v>934</v>
      </c>
      <c r="C936" s="61" t="s">
        <v>2359</v>
      </c>
      <c r="D936" s="62" t="s">
        <v>2360</v>
      </c>
      <c r="E936" s="63" t="s">
        <v>2361</v>
      </c>
    </row>
    <row r="937" spans="2:5" ht="33.75" customHeight="1">
      <c r="B937" s="60">
        <v>935</v>
      </c>
      <c r="C937" s="61" t="s">
        <v>2362</v>
      </c>
      <c r="D937" s="62" t="s">
        <v>2363</v>
      </c>
      <c r="E937" s="63"/>
    </row>
    <row r="938" spans="2:5" ht="33.75" customHeight="1">
      <c r="B938" s="60">
        <v>936</v>
      </c>
      <c r="C938" s="61" t="s">
        <v>2364</v>
      </c>
      <c r="D938" s="62" t="s">
        <v>2365</v>
      </c>
      <c r="E938" s="63" t="s">
        <v>2366</v>
      </c>
    </row>
    <row r="939" spans="2:5" ht="33.75" customHeight="1">
      <c r="B939" s="60">
        <v>937</v>
      </c>
      <c r="C939" s="61" t="s">
        <v>2367</v>
      </c>
      <c r="D939" s="62" t="s">
        <v>2368</v>
      </c>
      <c r="E939" s="63" t="s">
        <v>2369</v>
      </c>
    </row>
    <row r="940" spans="2:5" ht="33.75" customHeight="1">
      <c r="B940" s="60">
        <v>938</v>
      </c>
      <c r="C940" s="61" t="s">
        <v>2370</v>
      </c>
      <c r="D940" s="62" t="s">
        <v>2371</v>
      </c>
      <c r="E940" s="63"/>
    </row>
    <row r="941" spans="2:5" ht="33.75" customHeight="1">
      <c r="B941" s="60">
        <v>939</v>
      </c>
      <c r="C941" s="61" t="s">
        <v>2372</v>
      </c>
      <c r="D941" s="62" t="s">
        <v>2373</v>
      </c>
      <c r="E941" s="63"/>
    </row>
    <row r="942" spans="2:5" ht="33.75" customHeight="1">
      <c r="B942" s="60">
        <v>940</v>
      </c>
      <c r="C942" s="61" t="s">
        <v>2374</v>
      </c>
      <c r="D942" s="62" t="s">
        <v>2375</v>
      </c>
      <c r="E942" s="63" t="s">
        <v>2376</v>
      </c>
    </row>
    <row r="943" spans="2:5" ht="33.75" customHeight="1">
      <c r="B943" s="60">
        <v>941</v>
      </c>
      <c r="C943" s="61" t="s">
        <v>2377</v>
      </c>
      <c r="D943" s="62" t="s">
        <v>2378</v>
      </c>
      <c r="E943" s="63" t="s">
        <v>2379</v>
      </c>
    </row>
    <row r="944" spans="2:5" ht="33.75" customHeight="1">
      <c r="B944" s="60">
        <v>942</v>
      </c>
      <c r="C944" s="61" t="s">
        <v>2380</v>
      </c>
      <c r="D944" s="62" t="s">
        <v>2381</v>
      </c>
      <c r="E944" s="63"/>
    </row>
    <row r="945" spans="2:5" ht="33.75" customHeight="1">
      <c r="B945" s="60">
        <v>943</v>
      </c>
      <c r="C945" s="61" t="s">
        <v>2382</v>
      </c>
      <c r="D945" s="62" t="s">
        <v>2383</v>
      </c>
      <c r="E945" s="63"/>
    </row>
    <row r="946" spans="2:5" ht="33.75" customHeight="1">
      <c r="B946" s="60">
        <v>944</v>
      </c>
      <c r="C946" s="61" t="s">
        <v>2384</v>
      </c>
      <c r="D946" s="62" t="s">
        <v>2385</v>
      </c>
      <c r="E946" s="63"/>
    </row>
    <row r="947" spans="2:5" ht="33.75" customHeight="1">
      <c r="B947" s="60">
        <v>945</v>
      </c>
      <c r="C947" s="61" t="s">
        <v>2386</v>
      </c>
      <c r="D947" s="62" t="s">
        <v>2387</v>
      </c>
      <c r="E947" s="63" t="s">
        <v>2388</v>
      </c>
    </row>
    <row r="948" spans="2:5" ht="33.75" customHeight="1">
      <c r="B948" s="60">
        <v>946</v>
      </c>
      <c r="C948" s="61" t="s">
        <v>2389</v>
      </c>
      <c r="D948" s="62" t="s">
        <v>2390</v>
      </c>
      <c r="E948" s="63"/>
    </row>
    <row r="949" spans="2:5" ht="33.75" customHeight="1">
      <c r="B949" s="60">
        <v>947</v>
      </c>
      <c r="C949" s="61" t="s">
        <v>2391</v>
      </c>
      <c r="D949" s="62" t="s">
        <v>2392</v>
      </c>
      <c r="E949" s="63"/>
    </row>
    <row r="950" spans="2:5" ht="33.75" customHeight="1">
      <c r="B950" s="60">
        <v>948</v>
      </c>
      <c r="C950" s="61" t="s">
        <v>2393</v>
      </c>
      <c r="D950" s="62" t="s">
        <v>2394</v>
      </c>
      <c r="E950" s="63"/>
    </row>
    <row r="951" spans="2:5" ht="33.75" customHeight="1">
      <c r="B951" s="60">
        <v>949</v>
      </c>
      <c r="C951" s="61" t="s">
        <v>2395</v>
      </c>
      <c r="D951" s="62" t="s">
        <v>2396</v>
      </c>
      <c r="E951" s="63"/>
    </row>
    <row r="952" spans="2:5" ht="33.75" customHeight="1">
      <c r="B952" s="60">
        <v>950</v>
      </c>
      <c r="C952" s="61" t="s">
        <v>2397</v>
      </c>
      <c r="D952" s="62" t="s">
        <v>2398</v>
      </c>
      <c r="E952" s="63" t="s">
        <v>2399</v>
      </c>
    </row>
    <row r="953" spans="2:5" ht="33.75" customHeight="1">
      <c r="B953" s="60">
        <v>951</v>
      </c>
      <c r="C953" s="61" t="s">
        <v>2400</v>
      </c>
      <c r="D953" s="62" t="s">
        <v>2401</v>
      </c>
      <c r="E953" s="63" t="s">
        <v>2402</v>
      </c>
    </row>
    <row r="954" spans="2:5" ht="33.75" customHeight="1">
      <c r="B954" s="60">
        <v>952</v>
      </c>
      <c r="C954" s="61" t="s">
        <v>2403</v>
      </c>
      <c r="D954" s="62" t="s">
        <v>2404</v>
      </c>
      <c r="E954" s="63"/>
    </row>
    <row r="955" spans="2:5" ht="33.75" customHeight="1">
      <c r="B955" s="60">
        <v>953</v>
      </c>
      <c r="C955" s="61" t="s">
        <v>2405</v>
      </c>
      <c r="D955" s="62" t="s">
        <v>2406</v>
      </c>
      <c r="E955" s="63"/>
    </row>
    <row r="956" spans="2:5" ht="33.75" customHeight="1">
      <c r="B956" s="60">
        <v>954</v>
      </c>
      <c r="C956" s="61" t="s">
        <v>2407</v>
      </c>
      <c r="D956" s="62" t="s">
        <v>2408</v>
      </c>
      <c r="E956" s="63" t="s">
        <v>2409</v>
      </c>
    </row>
    <row r="957" spans="2:5" ht="33.75" customHeight="1">
      <c r="B957" s="60">
        <v>955</v>
      </c>
      <c r="C957" s="61" t="s">
        <v>2410</v>
      </c>
      <c r="D957" s="62" t="s">
        <v>2411</v>
      </c>
      <c r="E957" s="63" t="s">
        <v>2412</v>
      </c>
    </row>
    <row r="958" spans="2:5" ht="33.75" customHeight="1">
      <c r="B958" s="60">
        <v>956</v>
      </c>
      <c r="C958" s="61" t="s">
        <v>2413</v>
      </c>
      <c r="D958" s="62" t="s">
        <v>2414</v>
      </c>
      <c r="E958" s="63"/>
    </row>
    <row r="959" spans="2:5" ht="33.75" customHeight="1">
      <c r="B959" s="60">
        <v>957</v>
      </c>
      <c r="C959" s="61" t="s">
        <v>2415</v>
      </c>
      <c r="D959" s="62" t="s">
        <v>2416</v>
      </c>
      <c r="E959" s="63"/>
    </row>
    <row r="960" spans="2:5" ht="33.75" customHeight="1">
      <c r="B960" s="60">
        <v>958</v>
      </c>
      <c r="C960" s="61" t="s">
        <v>2417</v>
      </c>
      <c r="D960" s="62" t="s">
        <v>2418</v>
      </c>
      <c r="E960" s="63"/>
    </row>
    <row r="961" spans="2:5" ht="33.75" customHeight="1">
      <c r="B961" s="60">
        <v>959</v>
      </c>
      <c r="C961" s="61" t="s">
        <v>2419</v>
      </c>
      <c r="D961" s="62" t="s">
        <v>2420</v>
      </c>
      <c r="E961" s="63"/>
    </row>
    <row r="962" spans="2:5" ht="33.75" customHeight="1">
      <c r="B962" s="60">
        <v>960</v>
      </c>
      <c r="C962" s="61" t="s">
        <v>2421</v>
      </c>
      <c r="D962" s="62" t="s">
        <v>2422</v>
      </c>
      <c r="E962" s="63" t="s">
        <v>2423</v>
      </c>
    </row>
    <row r="963" spans="2:5" ht="33.75" customHeight="1">
      <c r="B963" s="60">
        <v>961</v>
      </c>
      <c r="C963" s="61" t="s">
        <v>2424</v>
      </c>
      <c r="D963" s="62" t="s">
        <v>2425</v>
      </c>
      <c r="E963" s="63"/>
    </row>
    <row r="964" spans="2:5" ht="33.75" customHeight="1">
      <c r="B964" s="60">
        <v>962</v>
      </c>
      <c r="C964" s="61" t="s">
        <v>2426</v>
      </c>
      <c r="D964" s="62" t="s">
        <v>2427</v>
      </c>
      <c r="E964" s="63" t="s">
        <v>2428</v>
      </c>
    </row>
    <row r="965" spans="2:5" ht="33.75" customHeight="1">
      <c r="B965" s="60">
        <v>963</v>
      </c>
      <c r="C965" s="61" t="s">
        <v>2429</v>
      </c>
      <c r="D965" s="62" t="s">
        <v>2430</v>
      </c>
      <c r="E965" s="63"/>
    </row>
    <row r="966" spans="2:5" ht="33.75" customHeight="1">
      <c r="B966" s="60">
        <v>964</v>
      </c>
      <c r="C966" s="61" t="s">
        <v>2431</v>
      </c>
      <c r="D966" s="62" t="s">
        <v>2432</v>
      </c>
      <c r="E966" s="63"/>
    </row>
    <row r="967" spans="2:5" ht="33.75" customHeight="1">
      <c r="B967" s="60">
        <v>965</v>
      </c>
      <c r="C967" s="61" t="s">
        <v>2433</v>
      </c>
      <c r="D967" s="62" t="s">
        <v>2434</v>
      </c>
      <c r="E967" s="63" t="s">
        <v>2435</v>
      </c>
    </row>
    <row r="968" spans="2:5" ht="33.75" customHeight="1">
      <c r="B968" s="60">
        <v>966</v>
      </c>
      <c r="C968" s="61" t="s">
        <v>2436</v>
      </c>
      <c r="D968" s="62" t="s">
        <v>2437</v>
      </c>
      <c r="E968" s="63"/>
    </row>
    <row r="969" spans="2:5" ht="33.75" customHeight="1">
      <c r="B969" s="60">
        <v>967</v>
      </c>
      <c r="C969" s="61" t="s">
        <v>2438</v>
      </c>
      <c r="D969" s="62" t="s">
        <v>2439</v>
      </c>
      <c r="E969" s="63"/>
    </row>
    <row r="970" spans="2:5" ht="33.75" customHeight="1">
      <c r="B970" s="60">
        <v>968</v>
      </c>
      <c r="C970" s="61" t="s">
        <v>2440</v>
      </c>
      <c r="D970" s="62" t="s">
        <v>2441</v>
      </c>
      <c r="E970" s="63"/>
    </row>
    <row r="971" spans="2:5" ht="33.75" customHeight="1">
      <c r="B971" s="60">
        <v>969</v>
      </c>
      <c r="C971" s="61" t="s">
        <v>2442</v>
      </c>
      <c r="D971" s="62" t="s">
        <v>2443</v>
      </c>
      <c r="E971" s="63" t="s">
        <v>2444</v>
      </c>
    </row>
    <row r="972" spans="2:5" ht="33.75" customHeight="1">
      <c r="B972" s="60">
        <v>970</v>
      </c>
      <c r="C972" s="61" t="s">
        <v>2445</v>
      </c>
      <c r="D972" s="62" t="s">
        <v>2446</v>
      </c>
      <c r="E972" s="63" t="s">
        <v>2447</v>
      </c>
    </row>
    <row r="973" spans="2:5" ht="33.75" customHeight="1">
      <c r="B973" s="60">
        <v>971</v>
      </c>
      <c r="C973" s="61" t="s">
        <v>2448</v>
      </c>
      <c r="D973" s="62" t="s">
        <v>2449</v>
      </c>
      <c r="E973" s="63"/>
    </row>
    <row r="974" spans="2:5" ht="33.75" customHeight="1">
      <c r="B974" s="60">
        <v>972</v>
      </c>
      <c r="C974" s="61" t="s">
        <v>2450</v>
      </c>
      <c r="D974" s="62" t="s">
        <v>2451</v>
      </c>
      <c r="E974" s="63"/>
    </row>
    <row r="975" spans="2:5" ht="33.75" customHeight="1">
      <c r="B975" s="60">
        <v>973</v>
      </c>
      <c r="C975" s="61" t="s">
        <v>2452</v>
      </c>
      <c r="D975" s="62" t="s">
        <v>2453</v>
      </c>
      <c r="E975" s="63" t="s">
        <v>2454</v>
      </c>
    </row>
    <row r="976" spans="2:5" ht="33.75" customHeight="1">
      <c r="B976" s="60">
        <v>974</v>
      </c>
      <c r="C976" s="61" t="s">
        <v>2455</v>
      </c>
      <c r="D976" s="62" t="s">
        <v>2456</v>
      </c>
      <c r="E976" s="63"/>
    </row>
    <row r="977" spans="2:5" ht="33.75" customHeight="1">
      <c r="B977" s="60">
        <v>975</v>
      </c>
      <c r="C977" s="61" t="s">
        <v>2457</v>
      </c>
      <c r="D977" s="62" t="s">
        <v>2458</v>
      </c>
      <c r="E977" s="63"/>
    </row>
    <row r="978" spans="2:5" ht="33.75" customHeight="1">
      <c r="B978" s="60">
        <v>976</v>
      </c>
      <c r="C978" s="61" t="s">
        <v>2459</v>
      </c>
      <c r="D978" s="62" t="s">
        <v>2460</v>
      </c>
      <c r="E978" s="63"/>
    </row>
    <row r="979" spans="2:5" ht="33.75" customHeight="1">
      <c r="B979" s="60">
        <v>977</v>
      </c>
      <c r="C979" s="61" t="s">
        <v>2461</v>
      </c>
      <c r="D979" s="62" t="s">
        <v>2462</v>
      </c>
      <c r="E979" s="63"/>
    </row>
    <row r="980" spans="2:5" ht="33.75" customHeight="1">
      <c r="B980" s="60">
        <v>978</v>
      </c>
      <c r="C980" s="61" t="s">
        <v>2463</v>
      </c>
      <c r="D980" s="62" t="s">
        <v>2464</v>
      </c>
      <c r="E980" s="63"/>
    </row>
    <row r="981" spans="2:5" ht="33.75" customHeight="1">
      <c r="B981" s="60">
        <v>979</v>
      </c>
      <c r="C981" s="61" t="s">
        <v>2465</v>
      </c>
      <c r="D981" s="62" t="s">
        <v>2466</v>
      </c>
      <c r="E981" s="63"/>
    </row>
    <row r="982" spans="2:5" ht="33.75" customHeight="1">
      <c r="B982" s="60">
        <v>980</v>
      </c>
      <c r="C982" s="61" t="s">
        <v>2467</v>
      </c>
      <c r="D982" s="62" t="s">
        <v>2468</v>
      </c>
      <c r="E982" s="63" t="s">
        <v>2469</v>
      </c>
    </row>
    <row r="983" spans="2:5" ht="33.75" customHeight="1">
      <c r="B983" s="60">
        <v>981</v>
      </c>
      <c r="C983" s="61" t="s">
        <v>2470</v>
      </c>
      <c r="D983" s="62" t="s">
        <v>2471</v>
      </c>
      <c r="E983" s="63"/>
    </row>
    <row r="984" spans="2:5" ht="33.75" customHeight="1">
      <c r="B984" s="60">
        <v>982</v>
      </c>
      <c r="C984" s="61" t="s">
        <v>2472</v>
      </c>
      <c r="D984" s="62" t="s">
        <v>2473</v>
      </c>
      <c r="E984" s="63"/>
    </row>
    <row r="985" spans="2:5" ht="33.75" customHeight="1">
      <c r="B985" s="60">
        <v>983</v>
      </c>
      <c r="C985" s="61" t="s">
        <v>2474</v>
      </c>
      <c r="D985" s="62" t="s">
        <v>2475</v>
      </c>
      <c r="E985" s="63" t="s">
        <v>2476</v>
      </c>
    </row>
    <row r="986" spans="2:5" ht="33.75" customHeight="1">
      <c r="B986" s="60">
        <v>984</v>
      </c>
      <c r="C986" s="61" t="s">
        <v>2477</v>
      </c>
      <c r="D986" s="62" t="s">
        <v>2478</v>
      </c>
      <c r="E986" s="63"/>
    </row>
    <row r="987" spans="2:5" ht="33.75" customHeight="1">
      <c r="B987" s="60">
        <v>985</v>
      </c>
      <c r="C987" s="61" t="s">
        <v>2479</v>
      </c>
      <c r="D987" s="62" t="s">
        <v>2480</v>
      </c>
      <c r="E987" s="63" t="s">
        <v>2481</v>
      </c>
    </row>
    <row r="988" spans="2:5" ht="33.75" customHeight="1">
      <c r="B988" s="60">
        <v>986</v>
      </c>
      <c r="C988" s="61" t="s">
        <v>2482</v>
      </c>
      <c r="D988" s="62" t="s">
        <v>2483</v>
      </c>
      <c r="E988" s="63" t="s">
        <v>2484</v>
      </c>
    </row>
    <row r="989" spans="2:5" ht="33.75" customHeight="1">
      <c r="B989" s="60">
        <v>987</v>
      </c>
      <c r="C989" s="61" t="s">
        <v>2485</v>
      </c>
      <c r="D989" s="62" t="s">
        <v>2486</v>
      </c>
      <c r="E989" s="63" t="s">
        <v>2487</v>
      </c>
    </row>
    <row r="990" spans="2:5" ht="33.75" customHeight="1">
      <c r="B990" s="60">
        <v>988</v>
      </c>
      <c r="C990" s="61" t="s">
        <v>2488</v>
      </c>
      <c r="D990" s="62" t="s">
        <v>2489</v>
      </c>
      <c r="E990" s="63" t="s">
        <v>2490</v>
      </c>
    </row>
    <row r="991" spans="2:5" ht="33.75" customHeight="1">
      <c r="B991" s="60">
        <v>989</v>
      </c>
      <c r="C991" s="61" t="s">
        <v>2491</v>
      </c>
      <c r="D991" s="62" t="s">
        <v>2492</v>
      </c>
      <c r="E991" s="63" t="s">
        <v>2493</v>
      </c>
    </row>
    <row r="992" spans="2:5" ht="33.75" customHeight="1">
      <c r="B992" s="60">
        <v>990</v>
      </c>
      <c r="C992" s="61" t="s">
        <v>2494</v>
      </c>
      <c r="D992" s="62" t="s">
        <v>2495</v>
      </c>
      <c r="E992" s="63" t="s">
        <v>2496</v>
      </c>
    </row>
    <row r="993" spans="2:5" ht="33.75" customHeight="1">
      <c r="B993" s="60">
        <v>991</v>
      </c>
      <c r="C993" s="61" t="s">
        <v>2497</v>
      </c>
      <c r="D993" s="62" t="s">
        <v>2498</v>
      </c>
      <c r="E993" s="63" t="s">
        <v>2499</v>
      </c>
    </row>
    <row r="994" spans="2:5" ht="33.75" customHeight="1">
      <c r="B994" s="60">
        <v>992</v>
      </c>
      <c r="C994" s="61" t="s">
        <v>2500</v>
      </c>
      <c r="D994" s="62" t="s">
        <v>2501</v>
      </c>
      <c r="E994" s="63" t="s">
        <v>2502</v>
      </c>
    </row>
    <row r="995" spans="2:5" ht="33.75" customHeight="1">
      <c r="B995" s="60">
        <v>993</v>
      </c>
      <c r="C995" s="61" t="s">
        <v>2503</v>
      </c>
      <c r="D995" s="62" t="s">
        <v>2504</v>
      </c>
      <c r="E995" s="63" t="s">
        <v>2505</v>
      </c>
    </row>
    <row r="996" spans="2:5" ht="33.75" customHeight="1">
      <c r="B996" s="60">
        <v>994</v>
      </c>
      <c r="C996" s="61" t="s">
        <v>2506</v>
      </c>
      <c r="D996" s="62" t="s">
        <v>2507</v>
      </c>
      <c r="E996" s="63" t="s">
        <v>2508</v>
      </c>
    </row>
    <row r="997" spans="2:5" ht="33.75" customHeight="1">
      <c r="B997" s="60">
        <v>995</v>
      </c>
      <c r="C997" s="61" t="s">
        <v>2509</v>
      </c>
      <c r="D997" s="62" t="s">
        <v>2510</v>
      </c>
      <c r="E997" s="63" t="s">
        <v>2511</v>
      </c>
    </row>
    <row r="998" spans="2:5" ht="33.75" customHeight="1">
      <c r="B998" s="60">
        <v>996</v>
      </c>
      <c r="C998" s="61" t="s">
        <v>2512</v>
      </c>
      <c r="D998" s="62" t="s">
        <v>2513</v>
      </c>
      <c r="E998" s="63" t="s">
        <v>2514</v>
      </c>
    </row>
    <row r="999" spans="2:5" ht="33.75" customHeight="1">
      <c r="B999" s="60">
        <v>997</v>
      </c>
      <c r="C999" s="61" t="s">
        <v>2515</v>
      </c>
      <c r="D999" s="62" t="s">
        <v>2516</v>
      </c>
      <c r="E999" s="63"/>
    </row>
    <row r="1000" spans="2:5" ht="33.75" customHeight="1">
      <c r="B1000" s="60">
        <v>998</v>
      </c>
      <c r="C1000" s="61" t="s">
        <v>2517</v>
      </c>
      <c r="D1000" s="62" t="s">
        <v>2518</v>
      </c>
      <c r="E1000" s="63" t="s">
        <v>2519</v>
      </c>
    </row>
    <row r="1001" spans="2:5" ht="33.75" customHeight="1">
      <c r="B1001" s="60">
        <v>999</v>
      </c>
      <c r="C1001" s="61" t="s">
        <v>2520</v>
      </c>
      <c r="D1001" s="62" t="s">
        <v>2521</v>
      </c>
      <c r="E1001" s="63" t="s">
        <v>2522</v>
      </c>
    </row>
    <row r="1002" spans="2:5" ht="33.75" customHeight="1">
      <c r="B1002" s="60">
        <v>1000</v>
      </c>
      <c r="C1002" s="61" t="s">
        <v>2523</v>
      </c>
      <c r="D1002" s="62" t="s">
        <v>2524</v>
      </c>
      <c r="E1002" s="63"/>
    </row>
    <row r="1003" spans="2:5" ht="33.75" customHeight="1">
      <c r="B1003" s="60">
        <v>1001</v>
      </c>
      <c r="C1003" s="61" t="s">
        <v>2525</v>
      </c>
      <c r="D1003" s="62" t="s">
        <v>2526</v>
      </c>
      <c r="E1003" s="63" t="s">
        <v>2527</v>
      </c>
    </row>
    <row r="1004" spans="2:5" ht="33.75" customHeight="1">
      <c r="B1004" s="60">
        <v>1002</v>
      </c>
      <c r="C1004" s="61" t="s">
        <v>2528</v>
      </c>
      <c r="D1004" s="62" t="s">
        <v>2529</v>
      </c>
      <c r="E1004" s="63"/>
    </row>
    <row r="1005" spans="2:5" ht="33.75" customHeight="1">
      <c r="B1005" s="60">
        <v>1003</v>
      </c>
      <c r="C1005" s="61" t="s">
        <v>2530</v>
      </c>
      <c r="D1005" s="62" t="s">
        <v>2531</v>
      </c>
      <c r="E1005" s="63"/>
    </row>
    <row r="1006" spans="2:5" ht="33.75" customHeight="1">
      <c r="B1006" s="60">
        <v>1004</v>
      </c>
      <c r="C1006" s="61" t="s">
        <v>2532</v>
      </c>
      <c r="D1006" s="62" t="s">
        <v>2533</v>
      </c>
      <c r="E1006" s="63"/>
    </row>
    <row r="1007" spans="2:5" ht="33.75" customHeight="1">
      <c r="B1007" s="60">
        <v>1005</v>
      </c>
      <c r="C1007" s="61" t="s">
        <v>2534</v>
      </c>
      <c r="D1007" s="62" t="s">
        <v>2535</v>
      </c>
      <c r="E1007" s="63" t="s">
        <v>2536</v>
      </c>
    </row>
    <row r="1008" spans="2:5" ht="33.75" customHeight="1">
      <c r="B1008" s="60">
        <v>1006</v>
      </c>
      <c r="C1008" s="61" t="s">
        <v>2537</v>
      </c>
      <c r="D1008" s="62" t="s">
        <v>2538</v>
      </c>
      <c r="E1008" s="63"/>
    </row>
    <row r="1009" spans="2:5" ht="33.75" customHeight="1">
      <c r="B1009" s="60">
        <v>1007</v>
      </c>
      <c r="C1009" s="61" t="s">
        <v>2539</v>
      </c>
      <c r="D1009" s="62" t="s">
        <v>2540</v>
      </c>
      <c r="E1009" s="63" t="s">
        <v>2541</v>
      </c>
    </row>
    <row r="1010" spans="2:5" ht="33.75" customHeight="1">
      <c r="B1010" s="60">
        <v>1008</v>
      </c>
      <c r="C1010" s="61" t="s">
        <v>2542</v>
      </c>
      <c r="D1010" s="62" t="s">
        <v>2543</v>
      </c>
      <c r="E1010" s="63" t="s">
        <v>2544</v>
      </c>
    </row>
    <row r="1011" spans="2:5" ht="33.75" customHeight="1">
      <c r="B1011" s="60">
        <v>1009</v>
      </c>
      <c r="C1011" s="61" t="s">
        <v>2545</v>
      </c>
      <c r="D1011" s="62" t="s">
        <v>2546</v>
      </c>
      <c r="E1011" s="63"/>
    </row>
    <row r="1012" spans="2:5" ht="33.75" customHeight="1">
      <c r="B1012" s="60">
        <v>1010</v>
      </c>
      <c r="C1012" s="61" t="s">
        <v>2547</v>
      </c>
      <c r="D1012" s="62" t="s">
        <v>2548</v>
      </c>
      <c r="E1012" s="63" t="s">
        <v>2549</v>
      </c>
    </row>
    <row r="1013" spans="2:5" ht="33.75" customHeight="1">
      <c r="B1013" s="60">
        <v>1011</v>
      </c>
      <c r="C1013" s="61" t="s">
        <v>2550</v>
      </c>
      <c r="D1013" s="62" t="s">
        <v>2551</v>
      </c>
      <c r="E1013" s="63" t="s">
        <v>2552</v>
      </c>
    </row>
    <row r="1014" spans="2:5" ht="33.75" customHeight="1">
      <c r="B1014" s="60">
        <v>1012</v>
      </c>
      <c r="C1014" s="61" t="s">
        <v>2553</v>
      </c>
      <c r="D1014" s="62" t="s">
        <v>2554</v>
      </c>
      <c r="E1014" s="63"/>
    </row>
    <row r="1015" spans="2:5" ht="33.75" customHeight="1">
      <c r="B1015" s="60">
        <v>1013</v>
      </c>
      <c r="C1015" s="61" t="s">
        <v>2555</v>
      </c>
      <c r="D1015" s="62" t="s">
        <v>2556</v>
      </c>
      <c r="E1015" s="63" t="s">
        <v>2557</v>
      </c>
    </row>
    <row r="1016" spans="2:5" ht="33.75" customHeight="1">
      <c r="B1016" s="60">
        <v>1014</v>
      </c>
      <c r="C1016" s="61" t="s">
        <v>2558</v>
      </c>
      <c r="D1016" s="62" t="s">
        <v>2559</v>
      </c>
      <c r="E1016" s="63"/>
    </row>
    <row r="1017" spans="2:5" ht="33.75" customHeight="1">
      <c r="B1017" s="60">
        <v>1015</v>
      </c>
      <c r="C1017" s="61" t="s">
        <v>2560</v>
      </c>
      <c r="D1017" s="62" t="s">
        <v>2561</v>
      </c>
      <c r="E1017" s="63"/>
    </row>
    <row r="1018" spans="2:5" ht="33.75" customHeight="1">
      <c r="B1018" s="60">
        <v>1016</v>
      </c>
      <c r="C1018" s="61" t="s">
        <v>2562</v>
      </c>
      <c r="D1018" s="62" t="s">
        <v>2563</v>
      </c>
      <c r="E1018" s="63" t="s">
        <v>2564</v>
      </c>
    </row>
    <row r="1019" spans="2:5" ht="33.75" customHeight="1">
      <c r="B1019" s="60">
        <v>1017</v>
      </c>
      <c r="C1019" s="61" t="s">
        <v>2565</v>
      </c>
      <c r="D1019" s="62" t="s">
        <v>2566</v>
      </c>
      <c r="E1019" s="64" t="s">
        <v>2567</v>
      </c>
    </row>
    <row r="1020" spans="2:5" ht="33.75" customHeight="1">
      <c r="B1020" s="60">
        <v>1018</v>
      </c>
      <c r="C1020" s="61" t="s">
        <v>2568</v>
      </c>
      <c r="D1020" s="62" t="s">
        <v>2569</v>
      </c>
      <c r="E1020" s="63"/>
    </row>
    <row r="1021" spans="2:5" ht="33.75" customHeight="1">
      <c r="B1021" s="60">
        <v>1019</v>
      </c>
      <c r="C1021" s="61" t="s">
        <v>2570</v>
      </c>
      <c r="D1021" s="62" t="s">
        <v>2571</v>
      </c>
      <c r="E1021" s="63" t="s">
        <v>2572</v>
      </c>
    </row>
    <row r="1022" spans="2:5" ht="33.75" customHeight="1">
      <c r="B1022" s="60">
        <v>1020</v>
      </c>
      <c r="C1022" s="61" t="s">
        <v>2573</v>
      </c>
      <c r="D1022" s="62" t="s">
        <v>2574</v>
      </c>
      <c r="E1022" s="63" t="s">
        <v>2575</v>
      </c>
    </row>
    <row r="1023" spans="2:5" ht="33.75" customHeight="1">
      <c r="B1023" s="60">
        <v>1021</v>
      </c>
      <c r="C1023" s="61" t="s">
        <v>2576</v>
      </c>
      <c r="D1023" s="62" t="s">
        <v>2577</v>
      </c>
      <c r="E1023" s="63" t="s">
        <v>2578</v>
      </c>
    </row>
    <row r="1024" spans="2:5" ht="33.75" customHeight="1">
      <c r="B1024" s="60">
        <v>1022</v>
      </c>
      <c r="C1024" s="61" t="s">
        <v>2579</v>
      </c>
      <c r="D1024" s="62" t="s">
        <v>2580</v>
      </c>
      <c r="E1024" s="63" t="s">
        <v>2581</v>
      </c>
    </row>
    <row r="1025" spans="2:5" ht="33.75" customHeight="1">
      <c r="B1025" s="60">
        <v>1023</v>
      </c>
      <c r="C1025" s="61" t="s">
        <v>2582</v>
      </c>
      <c r="D1025" s="62" t="s">
        <v>2583</v>
      </c>
      <c r="E1025" s="63" t="s">
        <v>2584</v>
      </c>
    </row>
    <row r="1026" spans="2:5" ht="33.75" customHeight="1">
      <c r="B1026" s="60">
        <v>1024</v>
      </c>
      <c r="C1026" s="61" t="s">
        <v>2585</v>
      </c>
      <c r="D1026" s="65" t="s">
        <v>2586</v>
      </c>
      <c r="E1026" s="63" t="s">
        <v>2587</v>
      </c>
    </row>
    <row r="1027" spans="2:5" ht="33.75" customHeight="1">
      <c r="B1027" s="60">
        <v>1025</v>
      </c>
      <c r="C1027" s="61" t="s">
        <v>2588</v>
      </c>
      <c r="D1027" s="62" t="s">
        <v>2589</v>
      </c>
      <c r="E1027" s="63"/>
    </row>
    <row r="1028" spans="2:5" ht="33.75" customHeight="1">
      <c r="B1028" s="60">
        <v>1026</v>
      </c>
      <c r="C1028" s="61" t="s">
        <v>2590</v>
      </c>
      <c r="D1028" s="62" t="s">
        <v>2591</v>
      </c>
      <c r="E1028" s="63" t="s">
        <v>2592</v>
      </c>
    </row>
    <row r="1029" spans="2:5" ht="33.75" customHeight="1">
      <c r="B1029" s="60">
        <v>1027</v>
      </c>
      <c r="C1029" s="61" t="s">
        <v>2593</v>
      </c>
      <c r="D1029" s="62" t="s">
        <v>2594</v>
      </c>
      <c r="E1029" s="63"/>
    </row>
    <row r="1030" spans="2:5" ht="33.75" customHeight="1">
      <c r="B1030" s="60">
        <v>1028</v>
      </c>
      <c r="C1030" s="61" t="s">
        <v>2595</v>
      </c>
      <c r="D1030" s="65" t="s">
        <v>2596</v>
      </c>
      <c r="E1030" s="64" t="s">
        <v>2597</v>
      </c>
    </row>
    <row r="1031" spans="2:5" ht="33.75" customHeight="1">
      <c r="B1031" s="60">
        <v>1029</v>
      </c>
      <c r="C1031" s="61" t="s">
        <v>2598</v>
      </c>
      <c r="D1031" s="62" t="s">
        <v>2599</v>
      </c>
      <c r="E1031" s="64" t="s">
        <v>2600</v>
      </c>
    </row>
    <row r="1032" spans="2:5" ht="33.75" customHeight="1">
      <c r="B1032" s="60">
        <v>1030</v>
      </c>
      <c r="C1032" s="61" t="s">
        <v>2601</v>
      </c>
      <c r="D1032" s="62" t="s">
        <v>2602</v>
      </c>
      <c r="E1032" s="63" t="s">
        <v>2603</v>
      </c>
    </row>
    <row r="1033" spans="2:5" ht="33.75" customHeight="1">
      <c r="B1033" s="60">
        <v>1031</v>
      </c>
      <c r="C1033" s="61" t="s">
        <v>2604</v>
      </c>
      <c r="D1033" s="62" t="s">
        <v>2605</v>
      </c>
      <c r="E1033" s="63"/>
    </row>
    <row r="1034" spans="2:5" ht="33.75" customHeight="1">
      <c r="B1034" s="60">
        <v>1032</v>
      </c>
      <c r="C1034" s="61" t="s">
        <v>2606</v>
      </c>
      <c r="D1034" s="62" t="s">
        <v>2607</v>
      </c>
      <c r="E1034" s="63"/>
    </row>
    <row r="1035" spans="2:5" ht="33.75" customHeight="1">
      <c r="B1035" s="60">
        <v>1033</v>
      </c>
      <c r="C1035" s="61" t="s">
        <v>2608</v>
      </c>
      <c r="D1035" s="62" t="s">
        <v>2609</v>
      </c>
      <c r="E1035" s="63" t="s">
        <v>2610</v>
      </c>
    </row>
    <row r="1036" spans="2:5" ht="33.75" customHeight="1">
      <c r="B1036" s="60">
        <v>1034</v>
      </c>
      <c r="C1036" s="61" t="s">
        <v>2611</v>
      </c>
      <c r="D1036" s="62" t="s">
        <v>2612</v>
      </c>
      <c r="E1036" s="63"/>
    </row>
    <row r="1037" spans="2:5" ht="33.75" customHeight="1">
      <c r="B1037" s="60">
        <v>1035</v>
      </c>
      <c r="C1037" s="61" t="s">
        <v>2613</v>
      </c>
      <c r="D1037" s="62" t="s">
        <v>2614</v>
      </c>
      <c r="E1037" s="63" t="s">
        <v>2615</v>
      </c>
    </row>
    <row r="1038" spans="2:5" ht="33.75" customHeight="1">
      <c r="B1038" s="60">
        <v>1036</v>
      </c>
      <c r="C1038" s="61" t="s">
        <v>2616</v>
      </c>
      <c r="D1038" s="62" t="s">
        <v>2617</v>
      </c>
      <c r="E1038" s="63"/>
    </row>
    <row r="1039" spans="2:5" ht="33.75" customHeight="1">
      <c r="B1039" s="60">
        <v>1037</v>
      </c>
      <c r="C1039" s="61" t="s">
        <v>2618</v>
      </c>
      <c r="D1039" s="62" t="s">
        <v>2619</v>
      </c>
      <c r="E1039" s="63"/>
    </row>
    <row r="1040" spans="2:5" ht="33.75" customHeight="1">
      <c r="B1040" s="60">
        <v>1038</v>
      </c>
      <c r="C1040" s="61" t="s">
        <v>2620</v>
      </c>
      <c r="D1040" s="62" t="s">
        <v>2621</v>
      </c>
      <c r="E1040" s="63"/>
    </row>
    <row r="1041" spans="2:5" ht="33.75" customHeight="1">
      <c r="B1041" s="60">
        <v>1039</v>
      </c>
      <c r="C1041" s="61" t="s">
        <v>2622</v>
      </c>
      <c r="D1041" s="62" t="s">
        <v>2623</v>
      </c>
      <c r="E1041" s="63" t="s">
        <v>2624</v>
      </c>
    </row>
    <row r="1042" spans="2:5" ht="33.75" customHeight="1">
      <c r="B1042" s="60">
        <v>1040</v>
      </c>
      <c r="C1042" s="61" t="s">
        <v>2625</v>
      </c>
      <c r="D1042" s="62" t="s">
        <v>2626</v>
      </c>
      <c r="E1042" s="63"/>
    </row>
    <row r="1043" spans="2:5" ht="33.75" customHeight="1">
      <c r="B1043" s="60">
        <v>1041</v>
      </c>
      <c r="C1043" s="61" t="s">
        <v>2627</v>
      </c>
      <c r="D1043" s="62" t="s">
        <v>2628</v>
      </c>
      <c r="E1043" s="63"/>
    </row>
    <row r="1044" spans="2:5" ht="33.75" customHeight="1">
      <c r="B1044" s="60">
        <v>1042</v>
      </c>
      <c r="C1044" s="61" t="s">
        <v>2629</v>
      </c>
      <c r="D1044" s="62" t="s">
        <v>2630</v>
      </c>
      <c r="E1044" s="63" t="s">
        <v>2631</v>
      </c>
    </row>
    <row r="1045" spans="2:5" ht="33.75" customHeight="1">
      <c r="B1045" s="60">
        <v>1043</v>
      </c>
      <c r="C1045" s="61" t="s">
        <v>2632</v>
      </c>
      <c r="D1045" s="62" t="s">
        <v>2633</v>
      </c>
      <c r="E1045" s="63"/>
    </row>
    <row r="1046" spans="2:5" ht="33.75" customHeight="1">
      <c r="B1046" s="60">
        <v>1044</v>
      </c>
      <c r="C1046" s="61" t="s">
        <v>2634</v>
      </c>
      <c r="D1046" s="62" t="s">
        <v>2635</v>
      </c>
      <c r="E1046" s="63"/>
    </row>
    <row r="1047" spans="2:5" ht="33.75" customHeight="1">
      <c r="B1047" s="60">
        <v>1045</v>
      </c>
      <c r="C1047" s="61" t="s">
        <v>2636</v>
      </c>
      <c r="D1047" s="62" t="s">
        <v>2637</v>
      </c>
      <c r="E1047" s="63" t="s">
        <v>2638</v>
      </c>
    </row>
    <row r="1048" spans="2:5" ht="33.75" customHeight="1">
      <c r="B1048" s="60">
        <v>1046</v>
      </c>
      <c r="C1048" s="61" t="s">
        <v>2639</v>
      </c>
      <c r="D1048" s="62" t="s">
        <v>2640</v>
      </c>
      <c r="E1048" s="63"/>
    </row>
    <row r="1049" spans="2:5" ht="33.75" customHeight="1">
      <c r="B1049" s="60">
        <v>1047</v>
      </c>
      <c r="C1049" s="61" t="s">
        <v>2641</v>
      </c>
      <c r="D1049" s="62" t="s">
        <v>2642</v>
      </c>
      <c r="E1049" s="63"/>
    </row>
    <row r="1050" spans="2:5" ht="33.75" customHeight="1">
      <c r="B1050" s="60">
        <v>1048</v>
      </c>
      <c r="C1050" s="61" t="s">
        <v>2643</v>
      </c>
      <c r="D1050" s="62" t="s">
        <v>2644</v>
      </c>
      <c r="E1050" s="63" t="s">
        <v>2645</v>
      </c>
    </row>
    <row r="1051" spans="2:5" ht="33.75" customHeight="1">
      <c r="B1051" s="60">
        <v>1049</v>
      </c>
      <c r="C1051" s="61" t="s">
        <v>2646</v>
      </c>
      <c r="D1051" s="62" t="s">
        <v>2647</v>
      </c>
      <c r="E1051" s="63" t="s">
        <v>2648</v>
      </c>
    </row>
    <row r="1052" spans="2:5" ht="33.75" customHeight="1">
      <c r="B1052" s="60">
        <v>1050</v>
      </c>
      <c r="C1052" s="61" t="s">
        <v>2649</v>
      </c>
      <c r="D1052" s="62" t="s">
        <v>2650</v>
      </c>
      <c r="E1052" s="63" t="s">
        <v>2651</v>
      </c>
    </row>
    <row r="1053" spans="2:5" ht="33.75" customHeight="1">
      <c r="B1053" s="60">
        <v>1051</v>
      </c>
      <c r="C1053" s="61" t="s">
        <v>2652</v>
      </c>
      <c r="D1053" s="62" t="s">
        <v>2653</v>
      </c>
      <c r="E1053" s="63" t="s">
        <v>2654</v>
      </c>
    </row>
    <row r="1054" spans="2:5" ht="33.75" customHeight="1">
      <c r="B1054" s="60">
        <v>1052</v>
      </c>
      <c r="C1054" s="61" t="s">
        <v>2655</v>
      </c>
      <c r="D1054" s="62" t="s">
        <v>2656</v>
      </c>
      <c r="E1054" s="63" t="s">
        <v>2657</v>
      </c>
    </row>
    <row r="1055" spans="2:5" ht="33.75" customHeight="1">
      <c r="B1055" s="60">
        <v>1053</v>
      </c>
      <c r="C1055" s="61" t="s">
        <v>2658</v>
      </c>
      <c r="D1055" s="62" t="s">
        <v>2659</v>
      </c>
      <c r="E1055" s="63" t="s">
        <v>2660</v>
      </c>
    </row>
    <row r="1056" spans="2:5" ht="33.75" customHeight="1">
      <c r="B1056" s="60">
        <v>1054</v>
      </c>
      <c r="C1056" s="61" t="s">
        <v>2661</v>
      </c>
      <c r="D1056" s="62" t="s">
        <v>2662</v>
      </c>
      <c r="E1056" s="63" t="s">
        <v>2663</v>
      </c>
    </row>
    <row r="1057" spans="2:5" ht="33.75" customHeight="1">
      <c r="B1057" s="60">
        <v>1055</v>
      </c>
      <c r="C1057" s="61" t="s">
        <v>2664</v>
      </c>
      <c r="D1057" s="62" t="s">
        <v>2665</v>
      </c>
      <c r="E1057" s="63" t="s">
        <v>2666</v>
      </c>
    </row>
    <row r="1058" spans="2:5" ht="33.75" customHeight="1">
      <c r="B1058" s="60">
        <v>1056</v>
      </c>
      <c r="C1058" s="61" t="s">
        <v>2667</v>
      </c>
      <c r="D1058" s="62" t="s">
        <v>2668</v>
      </c>
      <c r="E1058" s="63" t="s">
        <v>2669</v>
      </c>
    </row>
    <row r="1059" spans="2:5" ht="33.75" customHeight="1">
      <c r="B1059" s="60">
        <v>1057</v>
      </c>
      <c r="C1059" s="61" t="s">
        <v>2670</v>
      </c>
      <c r="D1059" s="62" t="s">
        <v>2671</v>
      </c>
      <c r="E1059" s="63" t="s">
        <v>2672</v>
      </c>
    </row>
    <row r="1060" spans="2:5" ht="33.75" customHeight="1">
      <c r="B1060" s="60">
        <v>1058</v>
      </c>
      <c r="C1060" s="61" t="s">
        <v>2673</v>
      </c>
      <c r="D1060" s="62" t="s">
        <v>2674</v>
      </c>
      <c r="E1060" s="63" t="s">
        <v>2675</v>
      </c>
    </row>
    <row r="1061" spans="2:5" ht="33.75" customHeight="1">
      <c r="B1061" s="60">
        <v>1059</v>
      </c>
      <c r="C1061" s="61" t="s">
        <v>2676</v>
      </c>
      <c r="D1061" s="62" t="s">
        <v>2677</v>
      </c>
      <c r="E1061" s="63"/>
    </row>
    <row r="1062" spans="2:5" ht="33.75" customHeight="1">
      <c r="B1062" s="60">
        <v>1060</v>
      </c>
      <c r="C1062" s="61" t="s">
        <v>2678</v>
      </c>
      <c r="D1062" s="62" t="s">
        <v>2679</v>
      </c>
      <c r="E1062" s="63" t="s">
        <v>2680</v>
      </c>
    </row>
    <row r="1063" spans="2:5" ht="33.75" customHeight="1">
      <c r="B1063" s="60">
        <v>1061</v>
      </c>
      <c r="C1063" s="61" t="s">
        <v>2681</v>
      </c>
      <c r="D1063" s="62" t="s">
        <v>2682</v>
      </c>
      <c r="E1063" s="63" t="s">
        <v>2683</v>
      </c>
    </row>
    <row r="1064" spans="2:5" ht="33.75" customHeight="1">
      <c r="B1064" s="60">
        <v>1062</v>
      </c>
      <c r="C1064" s="61" t="s">
        <v>2684</v>
      </c>
      <c r="D1064" s="62" t="s">
        <v>2685</v>
      </c>
      <c r="E1064" s="63"/>
    </row>
    <row r="1065" spans="2:5" ht="33.75" customHeight="1">
      <c r="B1065" s="60">
        <v>1063</v>
      </c>
      <c r="C1065" s="61" t="s">
        <v>2686</v>
      </c>
      <c r="D1065" s="62" t="s">
        <v>2687</v>
      </c>
      <c r="E1065" s="63"/>
    </row>
    <row r="1066" spans="2:5" ht="33.75" customHeight="1">
      <c r="B1066" s="60">
        <v>1064</v>
      </c>
      <c r="C1066" s="61" t="s">
        <v>2688</v>
      </c>
      <c r="D1066" s="62" t="s">
        <v>2689</v>
      </c>
      <c r="E1066" s="63" t="s">
        <v>2690</v>
      </c>
    </row>
    <row r="1067" spans="2:5" ht="33.75" customHeight="1">
      <c r="B1067" s="60">
        <v>1065</v>
      </c>
      <c r="C1067" s="61" t="s">
        <v>2691</v>
      </c>
      <c r="D1067" s="62" t="s">
        <v>2692</v>
      </c>
      <c r="E1067" s="63"/>
    </row>
    <row r="1068" spans="2:5" ht="33.75" customHeight="1">
      <c r="B1068" s="60">
        <v>1066</v>
      </c>
      <c r="C1068" s="61" t="s">
        <v>2693</v>
      </c>
      <c r="D1068" s="62" t="s">
        <v>2694</v>
      </c>
      <c r="E1068" s="63" t="s">
        <v>2695</v>
      </c>
    </row>
    <row r="1069" spans="2:5" ht="33.75" customHeight="1">
      <c r="B1069" s="60">
        <v>1067</v>
      </c>
      <c r="C1069" s="61" t="s">
        <v>2696</v>
      </c>
      <c r="D1069" s="62" t="s">
        <v>2697</v>
      </c>
      <c r="E1069" s="63"/>
    </row>
    <row r="1070" spans="2:5" ht="33.75" customHeight="1">
      <c r="B1070" s="60">
        <v>1068</v>
      </c>
      <c r="C1070" s="61" t="s">
        <v>2698</v>
      </c>
      <c r="D1070" s="62" t="s">
        <v>2699</v>
      </c>
      <c r="E1070" s="63"/>
    </row>
    <row r="1071" spans="2:5" ht="33.75" customHeight="1">
      <c r="B1071" s="60">
        <v>1069</v>
      </c>
      <c r="C1071" s="61" t="s">
        <v>2700</v>
      </c>
      <c r="D1071" s="65" t="s">
        <v>2701</v>
      </c>
      <c r="E1071" s="63"/>
    </row>
    <row r="1072" spans="2:5" ht="33.75" customHeight="1">
      <c r="B1072" s="60">
        <v>1070</v>
      </c>
      <c r="C1072" s="61" t="s">
        <v>2702</v>
      </c>
      <c r="D1072" s="65" t="s">
        <v>2703</v>
      </c>
      <c r="E1072" s="64" t="s">
        <v>2704</v>
      </c>
    </row>
    <row r="1073" spans="2:5" ht="33.75" customHeight="1">
      <c r="B1073" s="60">
        <v>1071</v>
      </c>
      <c r="C1073" s="61" t="s">
        <v>2705</v>
      </c>
      <c r="D1073" s="62" t="s">
        <v>2706</v>
      </c>
      <c r="E1073" s="63" t="s">
        <v>2707</v>
      </c>
    </row>
    <row r="1074" spans="2:5" ht="33.75" customHeight="1">
      <c r="B1074" s="60">
        <v>1072</v>
      </c>
      <c r="C1074" s="61" t="s">
        <v>2708</v>
      </c>
      <c r="D1074" s="62" t="s">
        <v>2709</v>
      </c>
      <c r="E1074" s="63"/>
    </row>
    <row r="1075" spans="2:5" ht="33.75" customHeight="1">
      <c r="B1075" s="60">
        <v>1073</v>
      </c>
      <c r="C1075" s="61" t="s">
        <v>2710</v>
      </c>
      <c r="D1075" s="65" t="s">
        <v>2711</v>
      </c>
      <c r="E1075" s="64" t="s">
        <v>2712</v>
      </c>
    </row>
    <row r="1076" spans="2:5" ht="33.75" customHeight="1">
      <c r="B1076" s="60">
        <v>1074</v>
      </c>
      <c r="C1076" s="61" t="s">
        <v>2713</v>
      </c>
      <c r="D1076" s="62" t="s">
        <v>2714</v>
      </c>
      <c r="E1076" s="63"/>
    </row>
    <row r="1077" spans="2:5" ht="33.75" customHeight="1">
      <c r="B1077" s="60">
        <v>1075</v>
      </c>
      <c r="C1077" s="61" t="s">
        <v>2715</v>
      </c>
      <c r="D1077" s="62" t="s">
        <v>2716</v>
      </c>
      <c r="E1077" s="63" t="s">
        <v>2717</v>
      </c>
    </row>
    <row r="1078" spans="2:5" ht="33.75" customHeight="1">
      <c r="B1078" s="60">
        <v>1076</v>
      </c>
      <c r="C1078" s="61" t="s">
        <v>2718</v>
      </c>
      <c r="D1078" s="62" t="s">
        <v>2719</v>
      </c>
      <c r="E1078" s="63" t="s">
        <v>2720</v>
      </c>
    </row>
    <row r="1079" spans="2:5" ht="33.75" customHeight="1">
      <c r="B1079" s="60">
        <v>1077</v>
      </c>
      <c r="C1079" s="61" t="s">
        <v>2721</v>
      </c>
      <c r="D1079" s="62" t="s">
        <v>2722</v>
      </c>
      <c r="E1079" s="63" t="s">
        <v>2723</v>
      </c>
    </row>
    <row r="1080" spans="2:5" ht="33.75" customHeight="1">
      <c r="B1080" s="60">
        <v>1078</v>
      </c>
      <c r="C1080" s="61" t="s">
        <v>2724</v>
      </c>
      <c r="D1080" s="62" t="s">
        <v>2725</v>
      </c>
      <c r="E1080" s="63" t="s">
        <v>2726</v>
      </c>
    </row>
    <row r="1081" spans="2:5" ht="33.75" customHeight="1">
      <c r="B1081" s="60">
        <v>1079</v>
      </c>
      <c r="C1081" s="61" t="s">
        <v>2727</v>
      </c>
      <c r="D1081" s="62" t="s">
        <v>2728</v>
      </c>
      <c r="E1081" s="63" t="s">
        <v>2729</v>
      </c>
    </row>
    <row r="1082" spans="2:5" ht="33.75" customHeight="1">
      <c r="B1082" s="60">
        <v>1080</v>
      </c>
      <c r="C1082" s="61" t="s">
        <v>2730</v>
      </c>
      <c r="D1082" s="62" t="s">
        <v>2731</v>
      </c>
      <c r="E1082" s="63" t="s">
        <v>2732</v>
      </c>
    </row>
    <row r="1083" spans="2:5" ht="33.75" customHeight="1">
      <c r="B1083" s="60">
        <v>1081</v>
      </c>
      <c r="C1083" s="61" t="s">
        <v>2733</v>
      </c>
      <c r="D1083" s="62" t="s">
        <v>2734</v>
      </c>
      <c r="E1083" s="63" t="s">
        <v>2735</v>
      </c>
    </row>
    <row r="1084" spans="2:5" ht="33.75" customHeight="1">
      <c r="B1084" s="60">
        <v>1082</v>
      </c>
      <c r="C1084" s="61" t="s">
        <v>2736</v>
      </c>
      <c r="D1084" s="62" t="s">
        <v>2737</v>
      </c>
      <c r="E1084" s="63" t="s">
        <v>2738</v>
      </c>
    </row>
    <row r="1085" spans="2:5" ht="33.75" customHeight="1">
      <c r="B1085" s="60">
        <v>1083</v>
      </c>
      <c r="C1085" s="61" t="s">
        <v>2739</v>
      </c>
      <c r="D1085" s="62" t="s">
        <v>2740</v>
      </c>
      <c r="E1085" s="63" t="s">
        <v>2741</v>
      </c>
    </row>
    <row r="1086" spans="2:5" ht="33.75" customHeight="1">
      <c r="B1086" s="60">
        <v>1084</v>
      </c>
      <c r="C1086" s="61" t="s">
        <v>2742</v>
      </c>
      <c r="D1086" s="62" t="s">
        <v>2743</v>
      </c>
      <c r="E1086" s="63" t="s">
        <v>2744</v>
      </c>
    </row>
    <row r="1087" spans="2:5" ht="33.75" customHeight="1">
      <c r="B1087" s="60">
        <v>1085</v>
      </c>
      <c r="C1087" s="61" t="s">
        <v>2745</v>
      </c>
      <c r="D1087" s="62" t="s">
        <v>2746</v>
      </c>
      <c r="E1087" s="63" t="s">
        <v>2747</v>
      </c>
    </row>
    <row r="1088" spans="2:5" ht="33.75" customHeight="1">
      <c r="B1088" s="60">
        <v>1086</v>
      </c>
      <c r="C1088" s="61" t="s">
        <v>2748</v>
      </c>
      <c r="D1088" s="62" t="s">
        <v>2749</v>
      </c>
      <c r="E1088" s="63" t="s">
        <v>2750</v>
      </c>
    </row>
    <row r="1089" spans="2:5" ht="33.75" customHeight="1">
      <c r="B1089" s="60">
        <v>1087</v>
      </c>
      <c r="C1089" s="61" t="s">
        <v>2751</v>
      </c>
      <c r="D1089" s="62" t="s">
        <v>2752</v>
      </c>
      <c r="E1089" s="63" t="s">
        <v>2753</v>
      </c>
    </row>
    <row r="1090" spans="2:5" ht="33.75" customHeight="1">
      <c r="B1090" s="60">
        <v>1088</v>
      </c>
      <c r="C1090" s="61" t="s">
        <v>2754</v>
      </c>
      <c r="D1090" s="62" t="s">
        <v>2755</v>
      </c>
      <c r="E1090" s="63" t="s">
        <v>2756</v>
      </c>
    </row>
    <row r="1091" spans="2:5" ht="33.75" customHeight="1">
      <c r="B1091" s="60">
        <v>1089</v>
      </c>
      <c r="C1091" s="61" t="s">
        <v>2757</v>
      </c>
      <c r="D1091" s="62" t="s">
        <v>2758</v>
      </c>
      <c r="E1091" s="63" t="s">
        <v>2759</v>
      </c>
    </row>
    <row r="1092" spans="2:5" ht="33.75" customHeight="1">
      <c r="B1092" s="60">
        <v>1090</v>
      </c>
      <c r="C1092" s="61" t="s">
        <v>2760</v>
      </c>
      <c r="D1092" s="62" t="s">
        <v>2761</v>
      </c>
      <c r="E1092" s="63" t="s">
        <v>2762</v>
      </c>
    </row>
    <row r="1093" spans="2:5" ht="33.75" customHeight="1">
      <c r="B1093" s="60">
        <v>1091</v>
      </c>
      <c r="C1093" s="61" t="s">
        <v>2763</v>
      </c>
      <c r="D1093" s="62" t="s">
        <v>2764</v>
      </c>
      <c r="E1093" s="63" t="s">
        <v>2765</v>
      </c>
    </row>
    <row r="1094" spans="2:5" ht="33.75" customHeight="1">
      <c r="B1094" s="60">
        <v>1092</v>
      </c>
      <c r="C1094" s="61" t="s">
        <v>2766</v>
      </c>
      <c r="D1094" s="62" t="s">
        <v>2767</v>
      </c>
      <c r="E1094" s="63" t="s">
        <v>2768</v>
      </c>
    </row>
    <row r="1095" spans="2:5" ht="33.75" customHeight="1">
      <c r="B1095" s="60">
        <v>1093</v>
      </c>
      <c r="C1095" s="61" t="s">
        <v>2769</v>
      </c>
      <c r="D1095" s="62" t="s">
        <v>2770</v>
      </c>
      <c r="E1095" s="63" t="s">
        <v>2771</v>
      </c>
    </row>
    <row r="1096" spans="2:5" ht="33.75" customHeight="1">
      <c r="B1096" s="60">
        <v>1094</v>
      </c>
      <c r="C1096" s="61" t="s">
        <v>2772</v>
      </c>
      <c r="D1096" s="62" t="s">
        <v>2773</v>
      </c>
      <c r="E1096" s="63" t="s">
        <v>2774</v>
      </c>
    </row>
    <row r="1097" spans="2:5" ht="33.75" customHeight="1">
      <c r="B1097" s="60">
        <v>1095</v>
      </c>
      <c r="C1097" s="61" t="s">
        <v>2775</v>
      </c>
      <c r="D1097" s="62" t="s">
        <v>2776</v>
      </c>
      <c r="E1097" s="63" t="s">
        <v>2777</v>
      </c>
    </row>
    <row r="1098" spans="2:5" ht="33.75" customHeight="1">
      <c r="B1098" s="60">
        <v>1096</v>
      </c>
      <c r="C1098" s="61" t="s">
        <v>2778</v>
      </c>
      <c r="D1098" s="62" t="s">
        <v>2779</v>
      </c>
      <c r="E1098" s="63" t="s">
        <v>2780</v>
      </c>
    </row>
    <row r="1099" spans="2:5" ht="33.75" customHeight="1">
      <c r="B1099" s="60">
        <v>1097</v>
      </c>
      <c r="C1099" s="61" t="s">
        <v>2781</v>
      </c>
      <c r="D1099" s="62" t="s">
        <v>2782</v>
      </c>
      <c r="E1099" s="63" t="s">
        <v>2783</v>
      </c>
    </row>
    <row r="1100" spans="2:5" ht="33.75" customHeight="1">
      <c r="B1100" s="60">
        <v>1098</v>
      </c>
      <c r="C1100" s="61" t="s">
        <v>2784</v>
      </c>
      <c r="D1100" s="62" t="s">
        <v>2785</v>
      </c>
      <c r="E1100" s="63" t="s">
        <v>2786</v>
      </c>
    </row>
    <row r="1101" spans="2:5" ht="33.75" customHeight="1">
      <c r="B1101" s="60">
        <v>1099</v>
      </c>
      <c r="C1101" s="61" t="s">
        <v>2787</v>
      </c>
      <c r="D1101" s="62" t="s">
        <v>2788</v>
      </c>
      <c r="E1101" s="63" t="s">
        <v>2789</v>
      </c>
    </row>
    <row r="1102" spans="2:5" ht="33.75" customHeight="1">
      <c r="B1102" s="60">
        <v>1100</v>
      </c>
      <c r="C1102" s="61" t="s">
        <v>2790</v>
      </c>
      <c r="D1102" s="62" t="s">
        <v>2791</v>
      </c>
      <c r="E1102" s="63" t="s">
        <v>2792</v>
      </c>
    </row>
    <row r="1103" spans="2:5" ht="33.75" customHeight="1">
      <c r="B1103" s="60">
        <v>1101</v>
      </c>
      <c r="C1103" s="61" t="s">
        <v>2793</v>
      </c>
      <c r="D1103" s="62" t="s">
        <v>2794</v>
      </c>
      <c r="E1103" s="63" t="s">
        <v>2795</v>
      </c>
    </row>
    <row r="1104" spans="2:5" ht="33.75" customHeight="1">
      <c r="B1104" s="60">
        <v>1102</v>
      </c>
      <c r="C1104" s="61" t="s">
        <v>2796</v>
      </c>
      <c r="D1104" s="62" t="s">
        <v>2797</v>
      </c>
      <c r="E1104" s="63" t="s">
        <v>2798</v>
      </c>
    </row>
    <row r="1105" spans="2:5" ht="33.75" customHeight="1">
      <c r="B1105" s="60">
        <v>1103</v>
      </c>
      <c r="C1105" s="61" t="s">
        <v>2799</v>
      </c>
      <c r="D1105" s="62" t="s">
        <v>2800</v>
      </c>
      <c r="E1105" s="63" t="s">
        <v>2801</v>
      </c>
    </row>
    <row r="1106" spans="2:5" ht="33.75" customHeight="1">
      <c r="B1106" s="60">
        <v>1104</v>
      </c>
      <c r="C1106" s="61" t="s">
        <v>2802</v>
      </c>
      <c r="D1106" s="62" t="s">
        <v>2803</v>
      </c>
      <c r="E1106" s="63" t="s">
        <v>2804</v>
      </c>
    </row>
    <row r="1107" spans="2:5" ht="33.75" customHeight="1">
      <c r="B1107" s="60">
        <v>1105</v>
      </c>
      <c r="C1107" s="61" t="s">
        <v>2805</v>
      </c>
      <c r="D1107" s="62" t="s">
        <v>2806</v>
      </c>
      <c r="E1107" s="63" t="s">
        <v>2807</v>
      </c>
    </row>
    <row r="1108" spans="2:5" ht="33.75" customHeight="1">
      <c r="B1108" s="60">
        <v>1106</v>
      </c>
      <c r="C1108" s="61" t="s">
        <v>2808</v>
      </c>
      <c r="D1108" s="62" t="s">
        <v>2809</v>
      </c>
      <c r="E1108" s="63" t="s">
        <v>2810</v>
      </c>
    </row>
    <row r="1109" spans="2:5" ht="33.75" customHeight="1">
      <c r="B1109" s="60">
        <v>1107</v>
      </c>
      <c r="C1109" s="61" t="s">
        <v>2811</v>
      </c>
      <c r="D1109" s="62" t="s">
        <v>2812</v>
      </c>
      <c r="E1109" s="63" t="s">
        <v>2813</v>
      </c>
    </row>
    <row r="1110" spans="2:5" ht="33.75" customHeight="1">
      <c r="B1110" s="60">
        <v>1108</v>
      </c>
      <c r="C1110" s="61" t="s">
        <v>2814</v>
      </c>
      <c r="D1110" s="62" t="s">
        <v>2815</v>
      </c>
      <c r="E1110" s="63" t="s">
        <v>2816</v>
      </c>
    </row>
    <row r="1111" spans="2:5" ht="33.75" customHeight="1">
      <c r="B1111" s="60">
        <v>1109</v>
      </c>
      <c r="C1111" s="61" t="s">
        <v>2817</v>
      </c>
      <c r="D1111" s="62" t="s">
        <v>2818</v>
      </c>
      <c r="E1111" s="63" t="s">
        <v>2819</v>
      </c>
    </row>
    <row r="1112" spans="2:5" ht="33.75" customHeight="1">
      <c r="B1112" s="60">
        <v>1110</v>
      </c>
      <c r="C1112" s="61" t="s">
        <v>2820</v>
      </c>
      <c r="D1112" s="62" t="s">
        <v>2821</v>
      </c>
      <c r="E1112" s="63" t="s">
        <v>2822</v>
      </c>
    </row>
    <row r="1113" spans="2:5" ht="33.75" customHeight="1">
      <c r="B1113" s="60">
        <v>1111</v>
      </c>
      <c r="C1113" s="61" t="s">
        <v>2823</v>
      </c>
      <c r="D1113" s="62" t="s">
        <v>2824</v>
      </c>
      <c r="E1113" s="63" t="s">
        <v>2825</v>
      </c>
    </row>
    <row r="1114" spans="2:5" ht="33.75" customHeight="1">
      <c r="B1114" s="60">
        <v>1112</v>
      </c>
      <c r="C1114" s="61" t="s">
        <v>2826</v>
      </c>
      <c r="D1114" s="62" t="s">
        <v>2827</v>
      </c>
      <c r="E1114" s="63" t="s">
        <v>2828</v>
      </c>
    </row>
    <row r="1115" spans="2:5" ht="33.75" customHeight="1">
      <c r="B1115" s="60">
        <v>1113</v>
      </c>
      <c r="C1115" s="61" t="s">
        <v>2829</v>
      </c>
      <c r="D1115" s="62" t="s">
        <v>2830</v>
      </c>
      <c r="E1115" s="63" t="s">
        <v>2831</v>
      </c>
    </row>
    <row r="1116" spans="2:5" ht="33.75" customHeight="1">
      <c r="B1116" s="60">
        <v>1114</v>
      </c>
      <c r="C1116" s="61" t="s">
        <v>2832</v>
      </c>
      <c r="D1116" s="62" t="s">
        <v>2833</v>
      </c>
      <c r="E1116" s="63" t="s">
        <v>2834</v>
      </c>
    </row>
    <row r="1117" spans="2:5" ht="33.75" customHeight="1">
      <c r="B1117" s="60">
        <v>1115</v>
      </c>
      <c r="C1117" s="61" t="s">
        <v>2835</v>
      </c>
      <c r="D1117" s="62" t="s">
        <v>2836</v>
      </c>
      <c r="E1117" s="63" t="s">
        <v>2837</v>
      </c>
    </row>
    <row r="1118" spans="2:5" ht="33.75" customHeight="1">
      <c r="B1118" s="60">
        <v>1116</v>
      </c>
      <c r="C1118" s="61" t="s">
        <v>2838</v>
      </c>
      <c r="D1118" s="62" t="s">
        <v>2839</v>
      </c>
      <c r="E1118" s="63" t="s">
        <v>2840</v>
      </c>
    </row>
    <row r="1119" spans="2:5" ht="33.75" customHeight="1">
      <c r="B1119" s="60">
        <v>1117</v>
      </c>
      <c r="C1119" s="61" t="s">
        <v>2841</v>
      </c>
      <c r="D1119" s="62" t="s">
        <v>2842</v>
      </c>
      <c r="E1119" s="63" t="s">
        <v>2843</v>
      </c>
    </row>
    <row r="1120" spans="2:5" ht="33.75" customHeight="1">
      <c r="B1120" s="60">
        <v>1118</v>
      </c>
      <c r="C1120" s="61" t="s">
        <v>2844</v>
      </c>
      <c r="D1120" s="62" t="s">
        <v>2845</v>
      </c>
      <c r="E1120" s="63" t="s">
        <v>2846</v>
      </c>
    </row>
    <row r="1121" spans="2:5" ht="33.75" customHeight="1">
      <c r="B1121" s="60">
        <v>1119</v>
      </c>
      <c r="C1121" s="61" t="s">
        <v>2847</v>
      </c>
      <c r="D1121" s="62" t="s">
        <v>2848</v>
      </c>
      <c r="E1121" s="63" t="s">
        <v>2849</v>
      </c>
    </row>
    <row r="1122" spans="2:5" ht="33.75" customHeight="1">
      <c r="B1122" s="60">
        <v>1120</v>
      </c>
      <c r="C1122" s="61" t="s">
        <v>2850</v>
      </c>
      <c r="D1122" s="62" t="s">
        <v>2851</v>
      </c>
      <c r="E1122" s="63" t="s">
        <v>2852</v>
      </c>
    </row>
    <row r="1123" spans="2:5" ht="33.75" customHeight="1">
      <c r="B1123" s="60">
        <v>1121</v>
      </c>
      <c r="C1123" s="61" t="s">
        <v>2853</v>
      </c>
      <c r="D1123" s="62" t="s">
        <v>2854</v>
      </c>
      <c r="E1123" s="63" t="s">
        <v>2855</v>
      </c>
    </row>
    <row r="1124" spans="2:5" ht="33.75" customHeight="1">
      <c r="B1124" s="60">
        <v>1122</v>
      </c>
      <c r="C1124" s="61" t="s">
        <v>2856</v>
      </c>
      <c r="D1124" s="62" t="s">
        <v>2857</v>
      </c>
      <c r="E1124" s="63"/>
    </row>
    <row r="1125" spans="2:5" ht="33.75" customHeight="1">
      <c r="B1125" s="60">
        <v>1123</v>
      </c>
      <c r="C1125" s="61" t="s">
        <v>2858</v>
      </c>
      <c r="D1125" s="62" t="s">
        <v>2859</v>
      </c>
      <c r="E1125" s="63" t="s">
        <v>2860</v>
      </c>
    </row>
    <row r="1126" spans="2:5" ht="33.75" customHeight="1">
      <c r="B1126" s="60">
        <v>1124</v>
      </c>
      <c r="C1126" s="61" t="s">
        <v>2861</v>
      </c>
      <c r="D1126" s="62" t="s">
        <v>2862</v>
      </c>
      <c r="E1126" s="63" t="s">
        <v>2863</v>
      </c>
    </row>
    <row r="1127" spans="2:5" ht="33.75" customHeight="1">
      <c r="B1127" s="60">
        <v>1125</v>
      </c>
      <c r="C1127" s="61" t="s">
        <v>2864</v>
      </c>
      <c r="D1127" s="62" t="s">
        <v>2865</v>
      </c>
      <c r="E1127" s="63" t="s">
        <v>2866</v>
      </c>
    </row>
    <row r="1128" spans="2:5" ht="33.75" customHeight="1">
      <c r="B1128" s="60">
        <v>1126</v>
      </c>
      <c r="C1128" s="61" t="s">
        <v>2867</v>
      </c>
      <c r="D1128" s="62" t="s">
        <v>2868</v>
      </c>
      <c r="E1128" s="64" t="s">
        <v>2869</v>
      </c>
    </row>
    <row r="1129" spans="2:5" ht="33.75" customHeight="1">
      <c r="B1129" s="60">
        <v>1127</v>
      </c>
      <c r="C1129" s="61" t="s">
        <v>2870</v>
      </c>
      <c r="D1129" s="62" t="s">
        <v>2871</v>
      </c>
      <c r="E1129" s="63" t="s">
        <v>2872</v>
      </c>
    </row>
    <row r="1130" spans="2:5" ht="33.75" customHeight="1">
      <c r="B1130" s="60">
        <v>1128</v>
      </c>
      <c r="C1130" s="61" t="s">
        <v>2873</v>
      </c>
      <c r="D1130" s="62" t="s">
        <v>2874</v>
      </c>
      <c r="E1130" s="63"/>
    </row>
    <row r="1131" spans="2:5" ht="33.75" customHeight="1">
      <c r="B1131" s="60">
        <v>1129</v>
      </c>
      <c r="C1131" s="61" t="s">
        <v>2875</v>
      </c>
      <c r="D1131" s="62" t="s">
        <v>2876</v>
      </c>
      <c r="E1131" s="63" t="s">
        <v>2877</v>
      </c>
    </row>
    <row r="1132" spans="2:5" ht="33.75" customHeight="1">
      <c r="B1132" s="60">
        <v>1130</v>
      </c>
      <c r="C1132" s="61" t="s">
        <v>2878</v>
      </c>
      <c r="D1132" s="62" t="s">
        <v>2879</v>
      </c>
      <c r="E1132" s="63" t="s">
        <v>2880</v>
      </c>
    </row>
    <row r="1133" spans="2:5" ht="33.75" customHeight="1">
      <c r="B1133" s="60">
        <v>1131</v>
      </c>
      <c r="C1133" s="61" t="s">
        <v>2881</v>
      </c>
      <c r="D1133" s="62" t="s">
        <v>2882</v>
      </c>
      <c r="E1133" s="63" t="s">
        <v>2883</v>
      </c>
    </row>
    <row r="1134" spans="2:5" ht="33.75" customHeight="1">
      <c r="B1134" s="60">
        <v>1132</v>
      </c>
      <c r="C1134" s="61" t="s">
        <v>2884</v>
      </c>
      <c r="D1134" s="62" t="s">
        <v>2885</v>
      </c>
      <c r="E1134" s="63" t="s">
        <v>2886</v>
      </c>
    </row>
    <row r="1135" spans="2:5" ht="33.75" customHeight="1">
      <c r="B1135" s="60">
        <v>1133</v>
      </c>
      <c r="C1135" s="61" t="s">
        <v>2887</v>
      </c>
      <c r="D1135" s="62" t="s">
        <v>2888</v>
      </c>
      <c r="E1135" s="63"/>
    </row>
    <row r="1136" spans="2:5" ht="33.75" customHeight="1">
      <c r="B1136" s="60">
        <v>1134</v>
      </c>
      <c r="C1136" s="61" t="s">
        <v>2889</v>
      </c>
      <c r="D1136" s="62" t="s">
        <v>2890</v>
      </c>
      <c r="E1136" s="63"/>
    </row>
    <row r="1137" spans="2:5" ht="33.75" customHeight="1">
      <c r="B1137" s="60">
        <v>1135</v>
      </c>
      <c r="C1137" s="61" t="s">
        <v>2891</v>
      </c>
      <c r="D1137" s="62" t="s">
        <v>2892</v>
      </c>
      <c r="E1137" s="63" t="s">
        <v>2893</v>
      </c>
    </row>
    <row r="1138" spans="2:5" ht="33.75" customHeight="1">
      <c r="B1138" s="60">
        <v>1136</v>
      </c>
      <c r="C1138" s="61" t="s">
        <v>2894</v>
      </c>
      <c r="D1138" s="62" t="s">
        <v>2895</v>
      </c>
      <c r="E1138" s="63"/>
    </row>
    <row r="1139" spans="2:5" ht="33.75" customHeight="1">
      <c r="B1139" s="60">
        <v>1137</v>
      </c>
      <c r="C1139" s="61" t="s">
        <v>2896</v>
      </c>
      <c r="D1139" s="62" t="s">
        <v>2897</v>
      </c>
      <c r="E1139" s="63" t="s">
        <v>2898</v>
      </c>
    </row>
    <row r="1140" spans="2:5" ht="33.75" customHeight="1">
      <c r="B1140" s="60">
        <v>1138</v>
      </c>
      <c r="C1140" s="61" t="s">
        <v>2899</v>
      </c>
      <c r="D1140" s="62" t="s">
        <v>2900</v>
      </c>
      <c r="E1140" s="63" t="s">
        <v>2901</v>
      </c>
    </row>
    <row r="1141" spans="2:5" ht="33.75" customHeight="1">
      <c r="B1141" s="60">
        <v>1139</v>
      </c>
      <c r="C1141" s="61" t="s">
        <v>2902</v>
      </c>
      <c r="D1141" s="62" t="s">
        <v>2903</v>
      </c>
      <c r="E1141" s="63" t="s">
        <v>2904</v>
      </c>
    </row>
    <row r="1142" spans="2:5" ht="33.75" customHeight="1">
      <c r="B1142" s="60">
        <v>1140</v>
      </c>
      <c r="C1142" s="61" t="s">
        <v>2905</v>
      </c>
      <c r="D1142" s="62" t="s">
        <v>2906</v>
      </c>
      <c r="E1142" s="63" t="s">
        <v>2907</v>
      </c>
    </row>
    <row r="1143" spans="2:5" ht="33.75" customHeight="1">
      <c r="B1143" s="60">
        <v>1141</v>
      </c>
      <c r="C1143" s="61" t="s">
        <v>2908</v>
      </c>
      <c r="D1143" s="62" t="s">
        <v>2909</v>
      </c>
      <c r="E1143" s="63" t="s">
        <v>2910</v>
      </c>
    </row>
    <row r="1144" spans="2:5" ht="33.75" customHeight="1">
      <c r="B1144" s="60">
        <v>1142</v>
      </c>
      <c r="C1144" s="61" t="s">
        <v>2911</v>
      </c>
      <c r="D1144" s="62" t="s">
        <v>2912</v>
      </c>
      <c r="E1144" s="63" t="s">
        <v>2913</v>
      </c>
    </row>
    <row r="1145" spans="2:5" ht="33.75" customHeight="1">
      <c r="B1145" s="60">
        <v>1143</v>
      </c>
      <c r="C1145" s="61" t="s">
        <v>2914</v>
      </c>
      <c r="D1145" s="62" t="s">
        <v>2915</v>
      </c>
      <c r="E1145" s="63"/>
    </row>
    <row r="1146" spans="2:5" ht="33.75" customHeight="1">
      <c r="B1146" s="60">
        <v>1144</v>
      </c>
      <c r="C1146" s="61" t="s">
        <v>2916</v>
      </c>
      <c r="D1146" s="62" t="s">
        <v>2917</v>
      </c>
      <c r="E1146" s="63"/>
    </row>
    <row r="1147" spans="2:5" ht="33.75" customHeight="1">
      <c r="B1147" s="60">
        <v>1145</v>
      </c>
      <c r="C1147" s="61" t="s">
        <v>2918</v>
      </c>
      <c r="D1147" s="62" t="s">
        <v>2919</v>
      </c>
      <c r="E1147" s="63" t="s">
        <v>2920</v>
      </c>
    </row>
    <row r="1148" spans="2:5" ht="33.75" customHeight="1">
      <c r="B1148" s="60">
        <v>1146</v>
      </c>
      <c r="C1148" s="61" t="s">
        <v>2921</v>
      </c>
      <c r="D1148" s="62" t="s">
        <v>2922</v>
      </c>
      <c r="E1148" s="63" t="s">
        <v>2923</v>
      </c>
    </row>
    <row r="1149" spans="2:5" ht="33.75" customHeight="1">
      <c r="B1149" s="60">
        <v>1147</v>
      </c>
      <c r="C1149" s="61" t="s">
        <v>2924</v>
      </c>
      <c r="D1149" s="62" t="s">
        <v>2925</v>
      </c>
      <c r="E1149" s="63" t="s">
        <v>2926</v>
      </c>
    </row>
    <row r="1150" spans="2:5" ht="33.75" customHeight="1">
      <c r="B1150" s="60">
        <v>1148</v>
      </c>
      <c r="C1150" s="61" t="s">
        <v>2927</v>
      </c>
      <c r="D1150" s="62" t="s">
        <v>2928</v>
      </c>
      <c r="E1150" s="63" t="s">
        <v>2929</v>
      </c>
    </row>
    <row r="1151" spans="2:5" ht="33.75" customHeight="1">
      <c r="B1151" s="60">
        <v>1149</v>
      </c>
      <c r="C1151" s="61" t="s">
        <v>2930</v>
      </c>
      <c r="D1151" s="62" t="s">
        <v>2931</v>
      </c>
      <c r="E1151" s="63" t="s">
        <v>2932</v>
      </c>
    </row>
    <row r="1152" spans="2:5" ht="33.75" customHeight="1">
      <c r="B1152" s="60">
        <v>1150</v>
      </c>
      <c r="C1152" s="61" t="s">
        <v>2933</v>
      </c>
      <c r="D1152" s="62" t="s">
        <v>2934</v>
      </c>
      <c r="E1152" s="63" t="s">
        <v>2935</v>
      </c>
    </row>
    <row r="1153" spans="2:5" ht="33.75" customHeight="1">
      <c r="B1153" s="60">
        <v>1151</v>
      </c>
      <c r="C1153" s="61" t="s">
        <v>2936</v>
      </c>
      <c r="D1153" s="62" t="s">
        <v>2937</v>
      </c>
      <c r="E1153" s="63" t="s">
        <v>2938</v>
      </c>
    </row>
    <row r="1154" spans="2:5" ht="33.75" customHeight="1">
      <c r="B1154" s="60">
        <v>1152</v>
      </c>
      <c r="C1154" s="61" t="s">
        <v>2939</v>
      </c>
      <c r="D1154" s="62" t="s">
        <v>2940</v>
      </c>
      <c r="E1154" s="63" t="s">
        <v>2941</v>
      </c>
    </row>
    <row r="1155" spans="2:5" ht="33.75" customHeight="1">
      <c r="B1155" s="60">
        <v>1153</v>
      </c>
      <c r="C1155" s="61" t="s">
        <v>2942</v>
      </c>
      <c r="D1155" s="62" t="s">
        <v>2943</v>
      </c>
      <c r="E1155" s="63" t="s">
        <v>2944</v>
      </c>
    </row>
    <row r="1156" spans="2:5" ht="33.75" customHeight="1">
      <c r="B1156" s="60">
        <v>1154</v>
      </c>
      <c r="C1156" s="61" t="s">
        <v>2945</v>
      </c>
      <c r="D1156" s="62" t="s">
        <v>2946</v>
      </c>
      <c r="E1156" s="63" t="s">
        <v>2947</v>
      </c>
    </row>
    <row r="1157" spans="2:5" ht="33.75" customHeight="1">
      <c r="B1157" s="60">
        <v>1155</v>
      </c>
      <c r="C1157" s="61" t="s">
        <v>2948</v>
      </c>
      <c r="D1157" s="62" t="s">
        <v>2949</v>
      </c>
      <c r="E1157" s="63" t="s">
        <v>2950</v>
      </c>
    </row>
    <row r="1158" spans="2:5" ht="33.75" customHeight="1">
      <c r="B1158" s="60">
        <v>1156</v>
      </c>
      <c r="C1158" s="61" t="s">
        <v>2951</v>
      </c>
      <c r="D1158" s="62" t="s">
        <v>2952</v>
      </c>
      <c r="E1158" s="63" t="s">
        <v>2953</v>
      </c>
    </row>
    <row r="1159" spans="2:5" ht="33.75" customHeight="1">
      <c r="B1159" s="60">
        <v>1157</v>
      </c>
      <c r="C1159" s="61" t="s">
        <v>2954</v>
      </c>
      <c r="D1159" s="62" t="s">
        <v>2955</v>
      </c>
      <c r="E1159" s="63" t="s">
        <v>2956</v>
      </c>
    </row>
    <row r="1160" spans="2:5" ht="33.75" customHeight="1">
      <c r="B1160" s="60">
        <v>1158</v>
      </c>
      <c r="C1160" s="61" t="s">
        <v>2957</v>
      </c>
      <c r="D1160" s="62" t="s">
        <v>2958</v>
      </c>
      <c r="E1160" s="63" t="s">
        <v>2959</v>
      </c>
    </row>
    <row r="1161" spans="2:5" ht="33.75" customHeight="1">
      <c r="B1161" s="60">
        <v>1159</v>
      </c>
      <c r="C1161" s="61" t="s">
        <v>2960</v>
      </c>
      <c r="D1161" s="62" t="s">
        <v>2961</v>
      </c>
      <c r="E1161" s="63" t="s">
        <v>2962</v>
      </c>
    </row>
    <row r="1162" spans="2:5" ht="33.75" customHeight="1">
      <c r="B1162" s="60">
        <v>1160</v>
      </c>
      <c r="C1162" s="61" t="s">
        <v>2963</v>
      </c>
      <c r="D1162" s="62" t="s">
        <v>2964</v>
      </c>
      <c r="E1162" s="63" t="s">
        <v>2965</v>
      </c>
    </row>
    <row r="1163" spans="2:5" ht="33.75" customHeight="1">
      <c r="B1163" s="60">
        <v>1161</v>
      </c>
      <c r="C1163" s="61" t="s">
        <v>2966</v>
      </c>
      <c r="D1163" s="62" t="s">
        <v>2967</v>
      </c>
      <c r="E1163" s="63" t="s">
        <v>2968</v>
      </c>
    </row>
    <row r="1164" spans="2:5" ht="33.75" customHeight="1">
      <c r="B1164" s="60">
        <v>1162</v>
      </c>
      <c r="C1164" s="61" t="s">
        <v>2969</v>
      </c>
      <c r="D1164" s="62" t="s">
        <v>2970</v>
      </c>
      <c r="E1164" s="63" t="s">
        <v>2971</v>
      </c>
    </row>
    <row r="1165" spans="2:5" ht="33.75" customHeight="1">
      <c r="B1165" s="60">
        <v>1163</v>
      </c>
      <c r="C1165" s="61" t="s">
        <v>2972</v>
      </c>
      <c r="D1165" s="62" t="s">
        <v>2973</v>
      </c>
      <c r="E1165" s="63" t="s">
        <v>2974</v>
      </c>
    </row>
    <row r="1166" spans="2:5" ht="33.75" customHeight="1">
      <c r="B1166" s="60">
        <v>1164</v>
      </c>
      <c r="C1166" s="61" t="s">
        <v>2975</v>
      </c>
      <c r="D1166" s="62" t="s">
        <v>2976</v>
      </c>
      <c r="E1166" s="63" t="s">
        <v>2977</v>
      </c>
    </row>
    <row r="1167" spans="2:5" ht="33.75" customHeight="1">
      <c r="B1167" s="60">
        <v>1165</v>
      </c>
      <c r="C1167" s="61" t="s">
        <v>2978</v>
      </c>
      <c r="D1167" s="62" t="s">
        <v>2979</v>
      </c>
      <c r="E1167" s="63" t="s">
        <v>2980</v>
      </c>
    </row>
    <row r="1168" spans="2:5" ht="33.75" customHeight="1">
      <c r="B1168" s="60">
        <v>1166</v>
      </c>
      <c r="C1168" s="61" t="s">
        <v>2981</v>
      </c>
      <c r="D1168" s="62" t="s">
        <v>2982</v>
      </c>
      <c r="E1168" s="63" t="s">
        <v>2983</v>
      </c>
    </row>
    <row r="1169" spans="2:5" ht="33.75" customHeight="1">
      <c r="B1169" s="60">
        <v>1167</v>
      </c>
      <c r="C1169" s="61" t="s">
        <v>2984</v>
      </c>
      <c r="D1169" s="62" t="s">
        <v>2985</v>
      </c>
      <c r="E1169" s="63" t="s">
        <v>2986</v>
      </c>
    </row>
    <row r="1170" spans="2:5" ht="33.75" customHeight="1">
      <c r="B1170" s="60">
        <v>1168</v>
      </c>
      <c r="C1170" s="61" t="s">
        <v>2987</v>
      </c>
      <c r="D1170" s="62" t="s">
        <v>2988</v>
      </c>
      <c r="E1170" s="63" t="s">
        <v>2989</v>
      </c>
    </row>
    <row r="1171" spans="2:5" ht="33.75" customHeight="1">
      <c r="B1171" s="60">
        <v>1169</v>
      </c>
      <c r="C1171" s="61" t="s">
        <v>2990</v>
      </c>
      <c r="D1171" s="62" t="s">
        <v>2991</v>
      </c>
      <c r="E1171" s="63" t="s">
        <v>2992</v>
      </c>
    </row>
    <row r="1172" spans="2:5" ht="33.75" customHeight="1">
      <c r="B1172" s="60">
        <v>1170</v>
      </c>
      <c r="C1172" s="61" t="s">
        <v>2993</v>
      </c>
      <c r="D1172" s="62" t="s">
        <v>2994</v>
      </c>
      <c r="E1172" s="63" t="s">
        <v>2995</v>
      </c>
    </row>
    <row r="1173" spans="2:5" ht="33.75" customHeight="1">
      <c r="B1173" s="60">
        <v>1171</v>
      </c>
      <c r="C1173" s="61" t="s">
        <v>2996</v>
      </c>
      <c r="D1173" s="62" t="s">
        <v>2997</v>
      </c>
      <c r="E1173" s="63" t="s">
        <v>2998</v>
      </c>
    </row>
    <row r="1174" spans="2:5" ht="33.75" customHeight="1">
      <c r="B1174" s="60">
        <v>1172</v>
      </c>
      <c r="C1174" s="61" t="s">
        <v>2999</v>
      </c>
      <c r="D1174" s="62" t="s">
        <v>3000</v>
      </c>
      <c r="E1174" s="63" t="s">
        <v>3001</v>
      </c>
    </row>
    <row r="1175" spans="2:5" ht="33.75" customHeight="1">
      <c r="B1175" s="60">
        <v>1173</v>
      </c>
      <c r="C1175" s="61" t="s">
        <v>3002</v>
      </c>
      <c r="D1175" s="62" t="s">
        <v>3003</v>
      </c>
      <c r="E1175" s="63" t="s">
        <v>3004</v>
      </c>
    </row>
    <row r="1176" spans="2:5" ht="33.75" customHeight="1">
      <c r="B1176" s="60">
        <v>1174</v>
      </c>
      <c r="C1176" s="61" t="s">
        <v>3005</v>
      </c>
      <c r="D1176" s="62" t="s">
        <v>3006</v>
      </c>
      <c r="E1176" s="63"/>
    </row>
    <row r="1177" spans="2:5" ht="33.75" customHeight="1">
      <c r="B1177" s="60">
        <v>1175</v>
      </c>
      <c r="C1177" s="61" t="s">
        <v>3007</v>
      </c>
      <c r="D1177" s="62" t="s">
        <v>3008</v>
      </c>
      <c r="E1177" s="63"/>
    </row>
    <row r="1178" spans="2:5" ht="33.75" customHeight="1">
      <c r="B1178" s="60">
        <v>1176</v>
      </c>
      <c r="C1178" s="61" t="s">
        <v>3009</v>
      </c>
      <c r="D1178" s="62" t="s">
        <v>3010</v>
      </c>
      <c r="E1178" s="63" t="s">
        <v>3011</v>
      </c>
    </row>
    <row r="1179" spans="2:5" ht="33.75" customHeight="1">
      <c r="B1179" s="60">
        <v>1177</v>
      </c>
      <c r="C1179" s="61" t="s">
        <v>3012</v>
      </c>
      <c r="D1179" s="62" t="s">
        <v>3013</v>
      </c>
      <c r="E1179" s="63"/>
    </row>
    <row r="1180" spans="2:5" ht="33.75" customHeight="1">
      <c r="B1180" s="60">
        <v>1178</v>
      </c>
      <c r="C1180" s="61" t="s">
        <v>3014</v>
      </c>
      <c r="D1180" s="62" t="s">
        <v>3015</v>
      </c>
      <c r="E1180" s="63" t="s">
        <v>3016</v>
      </c>
    </row>
    <row r="1181" spans="2:5" ht="33.75" customHeight="1">
      <c r="B1181" s="60">
        <v>1179</v>
      </c>
      <c r="C1181" s="61" t="s">
        <v>3017</v>
      </c>
      <c r="D1181" s="62" t="s">
        <v>3018</v>
      </c>
      <c r="E1181" s="63" t="s">
        <v>3019</v>
      </c>
    </row>
    <row r="1182" spans="2:5" ht="33.75" customHeight="1">
      <c r="B1182" s="60">
        <v>1180</v>
      </c>
      <c r="C1182" s="61" t="s">
        <v>3020</v>
      </c>
      <c r="D1182" s="62" t="s">
        <v>3021</v>
      </c>
      <c r="E1182" s="64" t="s">
        <v>3022</v>
      </c>
    </row>
    <row r="1183" spans="2:5" ht="33.75" customHeight="1">
      <c r="B1183" s="60">
        <v>1181</v>
      </c>
      <c r="C1183" s="61" t="s">
        <v>3023</v>
      </c>
      <c r="D1183" s="62" t="s">
        <v>3024</v>
      </c>
      <c r="E1183" s="63" t="s">
        <v>3025</v>
      </c>
    </row>
    <row r="1184" spans="2:5" ht="33.75" customHeight="1">
      <c r="B1184" s="60">
        <v>1182</v>
      </c>
      <c r="C1184" s="61" t="s">
        <v>3026</v>
      </c>
      <c r="D1184" s="62" t="s">
        <v>3027</v>
      </c>
      <c r="E1184" s="63" t="s">
        <v>3028</v>
      </c>
    </row>
    <row r="1185" spans="2:5" ht="33.75" customHeight="1">
      <c r="B1185" s="60">
        <v>1183</v>
      </c>
      <c r="C1185" s="61" t="s">
        <v>3029</v>
      </c>
      <c r="D1185" s="62" t="s">
        <v>3030</v>
      </c>
      <c r="E1185" s="63" t="s">
        <v>3031</v>
      </c>
    </row>
    <row r="1186" spans="2:5" ht="33.75" customHeight="1">
      <c r="B1186" s="60">
        <v>1184</v>
      </c>
      <c r="C1186" s="61" t="s">
        <v>3032</v>
      </c>
      <c r="D1186" s="62" t="s">
        <v>3033</v>
      </c>
      <c r="E1186" s="63"/>
    </row>
    <row r="1187" spans="2:5" ht="33.75" customHeight="1">
      <c r="B1187" s="60">
        <v>1185</v>
      </c>
      <c r="C1187" s="61" t="s">
        <v>3034</v>
      </c>
      <c r="D1187" s="62" t="s">
        <v>3035</v>
      </c>
      <c r="E1187" s="63" t="s">
        <v>3036</v>
      </c>
    </row>
    <row r="1188" spans="2:5" ht="33.75" customHeight="1">
      <c r="B1188" s="60">
        <v>1186</v>
      </c>
      <c r="C1188" s="61" t="s">
        <v>3037</v>
      </c>
      <c r="D1188" s="62" t="s">
        <v>3038</v>
      </c>
      <c r="E1188" s="63"/>
    </row>
    <row r="1189" spans="2:5" ht="33.75" customHeight="1">
      <c r="B1189" s="60">
        <v>1187</v>
      </c>
      <c r="C1189" s="61" t="s">
        <v>3039</v>
      </c>
      <c r="D1189" s="62" t="s">
        <v>3040</v>
      </c>
      <c r="E1189" s="63"/>
    </row>
    <row r="1190" spans="2:5" ht="33.75" customHeight="1">
      <c r="B1190" s="60">
        <v>1188</v>
      </c>
      <c r="C1190" s="61" t="s">
        <v>3041</v>
      </c>
      <c r="D1190" s="62" t="s">
        <v>3042</v>
      </c>
      <c r="E1190" s="63" t="s">
        <v>3043</v>
      </c>
    </row>
    <row r="1191" spans="2:5" ht="33.75" customHeight="1">
      <c r="B1191" s="60">
        <v>1189</v>
      </c>
      <c r="C1191" s="61" t="s">
        <v>3044</v>
      </c>
      <c r="D1191" s="62" t="s">
        <v>3045</v>
      </c>
      <c r="E1191" s="63" t="s">
        <v>3046</v>
      </c>
    </row>
    <row r="1192" spans="2:5" ht="33.75" customHeight="1">
      <c r="B1192" s="60">
        <v>1190</v>
      </c>
      <c r="C1192" s="61" t="s">
        <v>3047</v>
      </c>
      <c r="D1192" s="62" t="s">
        <v>3048</v>
      </c>
      <c r="E1192" s="63"/>
    </row>
    <row r="1193" spans="2:5" ht="33.75" customHeight="1">
      <c r="B1193" s="60">
        <v>1191</v>
      </c>
      <c r="C1193" s="61" t="s">
        <v>3049</v>
      </c>
      <c r="D1193" s="62" t="s">
        <v>3050</v>
      </c>
      <c r="E1193" s="63" t="s">
        <v>3051</v>
      </c>
    </row>
    <row r="1194" spans="2:5" ht="33.75" customHeight="1">
      <c r="B1194" s="60">
        <v>1192</v>
      </c>
      <c r="C1194" s="61" t="s">
        <v>3052</v>
      </c>
      <c r="D1194" s="62" t="s">
        <v>3053</v>
      </c>
      <c r="E1194" s="63"/>
    </row>
    <row r="1195" spans="2:5" ht="33.75" customHeight="1">
      <c r="B1195" s="60">
        <v>1193</v>
      </c>
      <c r="C1195" s="61" t="s">
        <v>3054</v>
      </c>
      <c r="D1195" s="62" t="s">
        <v>3055</v>
      </c>
      <c r="E1195" s="63" t="s">
        <v>3056</v>
      </c>
    </row>
    <row r="1196" spans="2:5" ht="33.75" customHeight="1">
      <c r="B1196" s="60">
        <v>1194</v>
      </c>
      <c r="C1196" s="61" t="s">
        <v>3057</v>
      </c>
      <c r="D1196" s="62" t="s">
        <v>3058</v>
      </c>
      <c r="E1196" s="63"/>
    </row>
    <row r="1197" spans="2:5" ht="33.75" customHeight="1">
      <c r="B1197" s="60">
        <v>1195</v>
      </c>
      <c r="C1197" s="61" t="s">
        <v>3059</v>
      </c>
      <c r="D1197" s="62" t="s">
        <v>3060</v>
      </c>
      <c r="E1197" s="63" t="s">
        <v>3061</v>
      </c>
    </row>
    <row r="1198" spans="2:5" ht="33.75" customHeight="1">
      <c r="B1198" s="60">
        <v>1196</v>
      </c>
      <c r="C1198" s="61" t="s">
        <v>3062</v>
      </c>
      <c r="D1198" s="62" t="s">
        <v>3063</v>
      </c>
      <c r="E1198" s="63" t="s">
        <v>3064</v>
      </c>
    </row>
    <row r="1199" spans="2:5" ht="33.75" customHeight="1">
      <c r="B1199" s="60">
        <v>1197</v>
      </c>
      <c r="C1199" s="61" t="s">
        <v>3065</v>
      </c>
      <c r="D1199" s="62" t="s">
        <v>3066</v>
      </c>
      <c r="E1199" s="63"/>
    </row>
    <row r="1200" spans="2:5" ht="33.75" customHeight="1">
      <c r="B1200" s="60">
        <v>1198</v>
      </c>
      <c r="C1200" s="61" t="s">
        <v>3067</v>
      </c>
      <c r="D1200" s="62" t="s">
        <v>3068</v>
      </c>
      <c r="E1200" s="63" t="s">
        <v>3069</v>
      </c>
    </row>
    <row r="1201" spans="2:5" ht="33.75" customHeight="1">
      <c r="B1201" s="60">
        <v>1199</v>
      </c>
      <c r="C1201" s="61" t="s">
        <v>3070</v>
      </c>
      <c r="D1201" s="62" t="s">
        <v>3071</v>
      </c>
      <c r="E1201" s="63" t="s">
        <v>3072</v>
      </c>
    </row>
    <row r="1202" spans="2:5" ht="33.75" customHeight="1">
      <c r="B1202" s="60">
        <v>1200</v>
      </c>
      <c r="C1202" s="61" t="s">
        <v>3073</v>
      </c>
      <c r="D1202" s="62" t="s">
        <v>3074</v>
      </c>
      <c r="E1202" s="63"/>
    </row>
    <row r="1203" spans="2:5" ht="33.75" customHeight="1">
      <c r="B1203" s="60">
        <v>1201</v>
      </c>
      <c r="C1203" s="61" t="s">
        <v>3075</v>
      </c>
      <c r="D1203" s="62" t="s">
        <v>3076</v>
      </c>
      <c r="E1203" s="63"/>
    </row>
    <row r="1204" spans="2:5" ht="33.75" customHeight="1">
      <c r="B1204" s="60">
        <v>1202</v>
      </c>
      <c r="C1204" s="61" t="s">
        <v>3077</v>
      </c>
      <c r="D1204" s="62" t="s">
        <v>3078</v>
      </c>
      <c r="E1204" s="63" t="s">
        <v>3079</v>
      </c>
    </row>
    <row r="1205" spans="2:5" ht="33.75" customHeight="1">
      <c r="B1205" s="60">
        <v>1203</v>
      </c>
      <c r="C1205" s="61" t="s">
        <v>3080</v>
      </c>
      <c r="D1205" s="62" t="s">
        <v>3081</v>
      </c>
      <c r="E1205" s="63" t="s">
        <v>3082</v>
      </c>
    </row>
    <row r="1206" spans="2:5" ht="33.75" customHeight="1">
      <c r="B1206" s="60">
        <v>1204</v>
      </c>
      <c r="C1206" s="61" t="s">
        <v>3083</v>
      </c>
      <c r="D1206" s="62" t="s">
        <v>3084</v>
      </c>
      <c r="E1206" s="63" t="s">
        <v>3085</v>
      </c>
    </row>
    <row r="1207" spans="2:5" ht="33.75" customHeight="1">
      <c r="B1207" s="60">
        <v>1205</v>
      </c>
      <c r="C1207" s="61" t="s">
        <v>3086</v>
      </c>
      <c r="D1207" s="62" t="s">
        <v>3087</v>
      </c>
      <c r="E1207" s="63" t="s">
        <v>3088</v>
      </c>
    </row>
    <row r="1208" spans="2:5" ht="33.75" customHeight="1">
      <c r="B1208" s="60">
        <v>1206</v>
      </c>
      <c r="C1208" s="61" t="s">
        <v>3089</v>
      </c>
      <c r="D1208" s="62" t="s">
        <v>3090</v>
      </c>
      <c r="E1208" s="63" t="s">
        <v>3091</v>
      </c>
    </row>
    <row r="1209" spans="2:5" ht="33.75" customHeight="1">
      <c r="B1209" s="60">
        <v>1207</v>
      </c>
      <c r="C1209" s="61" t="s">
        <v>3092</v>
      </c>
      <c r="D1209" s="62" t="s">
        <v>3093</v>
      </c>
      <c r="E1209" s="63" t="s">
        <v>3094</v>
      </c>
    </row>
    <row r="1210" spans="2:5" ht="33.75" customHeight="1">
      <c r="B1210" s="60">
        <v>1208</v>
      </c>
      <c r="C1210" s="61" t="s">
        <v>3095</v>
      </c>
      <c r="D1210" s="62" t="s">
        <v>3096</v>
      </c>
      <c r="E1210" s="63" t="s">
        <v>3097</v>
      </c>
    </row>
    <row r="1211" spans="2:5" ht="33.75" customHeight="1">
      <c r="B1211" s="60">
        <v>1209</v>
      </c>
      <c r="C1211" s="61" t="s">
        <v>3098</v>
      </c>
      <c r="D1211" s="62" t="s">
        <v>3099</v>
      </c>
      <c r="E1211" s="63" t="s">
        <v>3100</v>
      </c>
    </row>
    <row r="1212" spans="2:5" ht="33.75" customHeight="1">
      <c r="B1212" s="60">
        <v>1210</v>
      </c>
      <c r="C1212" s="61" t="s">
        <v>3101</v>
      </c>
      <c r="D1212" s="62" t="s">
        <v>3102</v>
      </c>
      <c r="E1212" s="63" t="s">
        <v>3103</v>
      </c>
    </row>
    <row r="1213" spans="2:5" ht="33.75" customHeight="1">
      <c r="B1213" s="60">
        <v>1211</v>
      </c>
      <c r="C1213" s="61" t="s">
        <v>3104</v>
      </c>
      <c r="D1213" s="62" t="s">
        <v>3105</v>
      </c>
      <c r="E1213" s="63" t="s">
        <v>3106</v>
      </c>
    </row>
    <row r="1214" spans="2:5" ht="33.75" customHeight="1">
      <c r="B1214" s="60">
        <v>1212</v>
      </c>
      <c r="C1214" s="61" t="s">
        <v>3107</v>
      </c>
      <c r="D1214" s="62" t="s">
        <v>3108</v>
      </c>
      <c r="E1214" s="63" t="s">
        <v>3109</v>
      </c>
    </row>
    <row r="1215" spans="2:5" ht="33.75" customHeight="1">
      <c r="B1215" s="60">
        <v>1213</v>
      </c>
      <c r="C1215" s="61" t="s">
        <v>3110</v>
      </c>
      <c r="D1215" s="62" t="s">
        <v>3111</v>
      </c>
      <c r="E1215" s="63" t="s">
        <v>3112</v>
      </c>
    </row>
    <row r="1216" spans="2:5" ht="33.75" customHeight="1">
      <c r="B1216" s="60">
        <v>1214</v>
      </c>
      <c r="C1216" s="61" t="s">
        <v>3113</v>
      </c>
      <c r="D1216" s="62" t="s">
        <v>3114</v>
      </c>
      <c r="E1216" s="63" t="s">
        <v>3115</v>
      </c>
    </row>
    <row r="1217" spans="2:5" ht="33.75" customHeight="1">
      <c r="B1217" s="60">
        <v>1215</v>
      </c>
      <c r="C1217" s="61" t="s">
        <v>3116</v>
      </c>
      <c r="D1217" s="62" t="s">
        <v>3117</v>
      </c>
      <c r="E1217" s="63" t="s">
        <v>3118</v>
      </c>
    </row>
    <row r="1218" spans="2:5" ht="33.75" customHeight="1">
      <c r="B1218" s="60">
        <v>1216</v>
      </c>
      <c r="C1218" s="61" t="s">
        <v>3119</v>
      </c>
      <c r="D1218" s="62" t="s">
        <v>3120</v>
      </c>
      <c r="E1218" s="63" t="s">
        <v>3121</v>
      </c>
    </row>
    <row r="1219" spans="2:5" ht="33.75" customHeight="1">
      <c r="B1219" s="60">
        <v>1217</v>
      </c>
      <c r="C1219" s="61" t="s">
        <v>3122</v>
      </c>
      <c r="D1219" s="62" t="s">
        <v>3123</v>
      </c>
      <c r="E1219" s="63" t="s">
        <v>3124</v>
      </c>
    </row>
    <row r="1220" spans="2:5" ht="33.75" customHeight="1">
      <c r="B1220" s="60">
        <v>1218</v>
      </c>
      <c r="C1220" s="61" t="s">
        <v>3125</v>
      </c>
      <c r="D1220" s="62" t="s">
        <v>3126</v>
      </c>
      <c r="E1220" s="63" t="s">
        <v>3127</v>
      </c>
    </row>
    <row r="1221" spans="2:5" ht="33.75" customHeight="1">
      <c r="B1221" s="60">
        <v>1219</v>
      </c>
      <c r="C1221" s="61" t="s">
        <v>3128</v>
      </c>
      <c r="D1221" s="62" t="s">
        <v>3129</v>
      </c>
      <c r="E1221" s="63" t="s">
        <v>3130</v>
      </c>
    </row>
    <row r="1222" spans="2:5" ht="33.75" customHeight="1">
      <c r="B1222" s="60">
        <v>1220</v>
      </c>
      <c r="C1222" s="61" t="s">
        <v>3131</v>
      </c>
      <c r="D1222" s="62" t="s">
        <v>3132</v>
      </c>
      <c r="E1222" s="63" t="s">
        <v>3130</v>
      </c>
    </row>
    <row r="1223" spans="2:5" ht="33.75" customHeight="1">
      <c r="B1223" s="60">
        <v>1221</v>
      </c>
      <c r="C1223" s="61" t="s">
        <v>3133</v>
      </c>
      <c r="D1223" s="62" t="s">
        <v>3134</v>
      </c>
      <c r="E1223" s="63" t="s">
        <v>3135</v>
      </c>
    </row>
    <row r="1224" spans="2:5" ht="33.75" customHeight="1">
      <c r="B1224" s="60">
        <v>1222</v>
      </c>
      <c r="C1224" s="61" t="s">
        <v>3136</v>
      </c>
      <c r="D1224" s="62" t="s">
        <v>3137</v>
      </c>
      <c r="E1224" s="63"/>
    </row>
    <row r="1225" spans="2:5" ht="33.75" customHeight="1">
      <c r="B1225" s="60">
        <v>1223</v>
      </c>
      <c r="C1225" s="61" t="s">
        <v>3138</v>
      </c>
      <c r="D1225" s="62" t="s">
        <v>3139</v>
      </c>
      <c r="E1225" s="63" t="s">
        <v>3140</v>
      </c>
    </row>
    <row r="1226" spans="2:5" ht="33.75" customHeight="1">
      <c r="B1226" s="60">
        <v>1224</v>
      </c>
      <c r="C1226" s="61" t="s">
        <v>3141</v>
      </c>
      <c r="D1226" s="62" t="s">
        <v>3142</v>
      </c>
      <c r="E1226" s="63" t="s">
        <v>3143</v>
      </c>
    </row>
    <row r="1227" spans="2:5" ht="33.75" customHeight="1">
      <c r="B1227" s="60">
        <v>1225</v>
      </c>
      <c r="C1227" s="61" t="s">
        <v>3144</v>
      </c>
      <c r="D1227" s="62" t="s">
        <v>3145</v>
      </c>
      <c r="E1227" s="63" t="s">
        <v>3143</v>
      </c>
    </row>
    <row r="1228" spans="2:5" ht="33.75" customHeight="1">
      <c r="B1228" s="60">
        <v>1226</v>
      </c>
      <c r="C1228" s="61" t="s">
        <v>3146</v>
      </c>
      <c r="D1228" s="62" t="s">
        <v>3147</v>
      </c>
      <c r="E1228" s="63" t="s">
        <v>3148</v>
      </c>
    </row>
    <row r="1229" spans="2:5" ht="33.75" customHeight="1">
      <c r="B1229" s="60">
        <v>1227</v>
      </c>
      <c r="C1229" s="61" t="s">
        <v>3149</v>
      </c>
      <c r="D1229" s="62" t="s">
        <v>3150</v>
      </c>
      <c r="E1229" s="63" t="s">
        <v>3151</v>
      </c>
    </row>
    <row r="1230" spans="2:5" ht="33.75" customHeight="1">
      <c r="B1230" s="60">
        <v>1228</v>
      </c>
      <c r="C1230" s="61" t="s">
        <v>3152</v>
      </c>
      <c r="D1230" s="62" t="s">
        <v>3153</v>
      </c>
      <c r="E1230" s="63" t="s">
        <v>3154</v>
      </c>
    </row>
    <row r="1231" spans="2:5" ht="33.75" customHeight="1">
      <c r="B1231" s="60">
        <v>1229</v>
      </c>
      <c r="C1231" s="61" t="s">
        <v>3155</v>
      </c>
      <c r="D1231" s="62" t="s">
        <v>3156</v>
      </c>
      <c r="E1231" s="63" t="s">
        <v>3157</v>
      </c>
    </row>
    <row r="1232" spans="2:5" ht="33.75" customHeight="1">
      <c r="B1232" s="60">
        <v>1230</v>
      </c>
      <c r="C1232" s="61" t="s">
        <v>3158</v>
      </c>
      <c r="D1232" s="62" t="s">
        <v>3159</v>
      </c>
      <c r="E1232" s="63" t="s">
        <v>3160</v>
      </c>
    </row>
    <row r="1233" spans="2:5" ht="33.75" customHeight="1">
      <c r="B1233" s="60">
        <v>1231</v>
      </c>
      <c r="C1233" s="61" t="s">
        <v>3161</v>
      </c>
      <c r="D1233" s="62" t="s">
        <v>3162</v>
      </c>
      <c r="E1233" s="63" t="s">
        <v>3163</v>
      </c>
    </row>
    <row r="1234" spans="2:5" ht="33.75" customHeight="1">
      <c r="B1234" s="60">
        <v>1232</v>
      </c>
      <c r="C1234" s="61" t="s">
        <v>3164</v>
      </c>
      <c r="D1234" s="62" t="s">
        <v>3165</v>
      </c>
      <c r="E1234" s="63" t="s">
        <v>3166</v>
      </c>
    </row>
    <row r="1235" spans="2:5" ht="33.75" customHeight="1">
      <c r="B1235" s="60">
        <v>1233</v>
      </c>
      <c r="C1235" s="61" t="s">
        <v>3167</v>
      </c>
      <c r="D1235" s="62" t="s">
        <v>3168</v>
      </c>
      <c r="E1235" s="63" t="s">
        <v>3169</v>
      </c>
    </row>
    <row r="1236" spans="2:5" ht="33.75" customHeight="1">
      <c r="B1236" s="60">
        <v>1234</v>
      </c>
      <c r="C1236" s="61" t="s">
        <v>3170</v>
      </c>
      <c r="D1236" s="62" t="s">
        <v>3171</v>
      </c>
      <c r="E1236" s="63" t="s">
        <v>3172</v>
      </c>
    </row>
    <row r="1237" spans="2:5" ht="33.75" customHeight="1">
      <c r="B1237" s="60">
        <v>1235</v>
      </c>
      <c r="C1237" s="61" t="s">
        <v>3173</v>
      </c>
      <c r="D1237" s="62" t="s">
        <v>3174</v>
      </c>
      <c r="E1237" s="63" t="s">
        <v>3175</v>
      </c>
    </row>
    <row r="1238" spans="2:5" ht="33.75" customHeight="1">
      <c r="B1238" s="60">
        <v>1236</v>
      </c>
      <c r="C1238" s="61" t="s">
        <v>3176</v>
      </c>
      <c r="D1238" s="62" t="s">
        <v>3177</v>
      </c>
      <c r="E1238" s="63" t="s">
        <v>3178</v>
      </c>
    </row>
    <row r="1239" spans="2:5" ht="33.75" customHeight="1">
      <c r="B1239" s="60">
        <v>1237</v>
      </c>
      <c r="C1239" s="61" t="s">
        <v>3179</v>
      </c>
      <c r="D1239" s="62" t="s">
        <v>3180</v>
      </c>
      <c r="E1239" s="63" t="s">
        <v>3181</v>
      </c>
    </row>
    <row r="1240" spans="2:5" ht="33.75" customHeight="1">
      <c r="B1240" s="60">
        <v>1238</v>
      </c>
      <c r="C1240" s="61" t="s">
        <v>3182</v>
      </c>
      <c r="D1240" s="62" t="s">
        <v>3183</v>
      </c>
      <c r="E1240" s="63" t="s">
        <v>3184</v>
      </c>
    </row>
    <row r="1241" spans="2:5" ht="33.75" customHeight="1">
      <c r="B1241" s="60">
        <v>1239</v>
      </c>
      <c r="C1241" s="61" t="s">
        <v>3185</v>
      </c>
      <c r="D1241" s="62" t="s">
        <v>3186</v>
      </c>
      <c r="E1241" s="63" t="s">
        <v>3187</v>
      </c>
    </row>
    <row r="1242" spans="2:5" ht="33.75" customHeight="1">
      <c r="B1242" s="60">
        <v>1240</v>
      </c>
      <c r="C1242" s="61" t="s">
        <v>3188</v>
      </c>
      <c r="D1242" s="62" t="s">
        <v>3189</v>
      </c>
      <c r="E1242" s="63" t="s">
        <v>3190</v>
      </c>
    </row>
    <row r="1243" spans="2:5" ht="33.75" customHeight="1">
      <c r="B1243" s="60">
        <v>1241</v>
      </c>
      <c r="C1243" s="61" t="s">
        <v>3191</v>
      </c>
      <c r="D1243" s="62" t="s">
        <v>3192</v>
      </c>
      <c r="E1243" s="63" t="s">
        <v>3193</v>
      </c>
    </row>
    <row r="1244" spans="2:5" ht="33.75" customHeight="1">
      <c r="B1244" s="60">
        <v>1242</v>
      </c>
      <c r="C1244" s="61" t="s">
        <v>3194</v>
      </c>
      <c r="D1244" s="62" t="s">
        <v>3195</v>
      </c>
      <c r="E1244" s="63" t="s">
        <v>3196</v>
      </c>
    </row>
    <row r="1245" spans="2:5" ht="33.75" customHeight="1">
      <c r="B1245" s="60">
        <v>1243</v>
      </c>
      <c r="C1245" s="61" t="s">
        <v>3197</v>
      </c>
      <c r="D1245" s="62" t="s">
        <v>3198</v>
      </c>
      <c r="E1245" s="63" t="s">
        <v>3199</v>
      </c>
    </row>
    <row r="1246" spans="2:5" ht="33.75" customHeight="1">
      <c r="B1246" s="60">
        <v>1244</v>
      </c>
      <c r="C1246" s="61" t="s">
        <v>3200</v>
      </c>
      <c r="D1246" s="62" t="s">
        <v>3201</v>
      </c>
      <c r="E1246" s="63" t="s">
        <v>3202</v>
      </c>
    </row>
    <row r="1247" spans="2:5" ht="33.75" customHeight="1">
      <c r="B1247" s="60">
        <v>1245</v>
      </c>
      <c r="C1247" s="61" t="s">
        <v>3203</v>
      </c>
      <c r="D1247" s="62" t="s">
        <v>3204</v>
      </c>
      <c r="E1247" s="63" t="s">
        <v>3205</v>
      </c>
    </row>
    <row r="1248" spans="2:5" ht="33.75" customHeight="1">
      <c r="B1248" s="60">
        <v>1246</v>
      </c>
      <c r="C1248" s="61" t="s">
        <v>3206</v>
      </c>
      <c r="D1248" s="62" t="s">
        <v>3207</v>
      </c>
      <c r="E1248" s="63" t="s">
        <v>3208</v>
      </c>
    </row>
    <row r="1249" spans="2:5" ht="33.75" customHeight="1">
      <c r="B1249" s="60">
        <v>1247</v>
      </c>
      <c r="C1249" s="61" t="s">
        <v>3209</v>
      </c>
      <c r="D1249" s="62" t="s">
        <v>3210</v>
      </c>
      <c r="E1249" s="63" t="s">
        <v>3211</v>
      </c>
    </row>
    <row r="1250" spans="2:5" ht="33.75" customHeight="1">
      <c r="B1250" s="60">
        <v>1248</v>
      </c>
      <c r="C1250" s="61" t="s">
        <v>3212</v>
      </c>
      <c r="D1250" s="62" t="s">
        <v>3213</v>
      </c>
      <c r="E1250" s="63" t="s">
        <v>3214</v>
      </c>
    </row>
    <row r="1251" spans="2:5" ht="33.75" customHeight="1">
      <c r="B1251" s="60">
        <v>1249</v>
      </c>
      <c r="C1251" s="61" t="s">
        <v>3215</v>
      </c>
      <c r="D1251" s="62" t="s">
        <v>3216</v>
      </c>
      <c r="E1251" s="63" t="s">
        <v>3217</v>
      </c>
    </row>
    <row r="1252" spans="2:5" ht="33.75" customHeight="1">
      <c r="B1252" s="60">
        <v>1250</v>
      </c>
      <c r="C1252" s="61" t="s">
        <v>3218</v>
      </c>
      <c r="D1252" s="62" t="s">
        <v>3219</v>
      </c>
      <c r="E1252" s="63" t="s">
        <v>3220</v>
      </c>
    </row>
    <row r="1253" spans="2:5" ht="33.75" customHeight="1">
      <c r="B1253" s="60">
        <v>1251</v>
      </c>
      <c r="C1253" s="61" t="s">
        <v>3221</v>
      </c>
      <c r="D1253" s="62" t="s">
        <v>3222</v>
      </c>
      <c r="E1253" s="63" t="s">
        <v>3223</v>
      </c>
    </row>
    <row r="1254" spans="2:5" ht="33.75" customHeight="1">
      <c r="B1254" s="60">
        <v>1252</v>
      </c>
      <c r="C1254" s="61" t="s">
        <v>3224</v>
      </c>
      <c r="D1254" s="62" t="s">
        <v>3225</v>
      </c>
      <c r="E1254" s="63" t="s">
        <v>3226</v>
      </c>
    </row>
    <row r="1255" spans="2:5" ht="33.75" customHeight="1">
      <c r="B1255" s="60">
        <v>1253</v>
      </c>
      <c r="C1255" s="61" t="s">
        <v>3227</v>
      </c>
      <c r="D1255" s="62" t="s">
        <v>3228</v>
      </c>
      <c r="E1255" s="63" t="s">
        <v>3229</v>
      </c>
    </row>
    <row r="1256" spans="2:5" ht="33.75" customHeight="1">
      <c r="B1256" s="60">
        <v>1254</v>
      </c>
      <c r="C1256" s="61" t="s">
        <v>3230</v>
      </c>
      <c r="D1256" s="62" t="s">
        <v>3231</v>
      </c>
      <c r="E1256" s="64" t="s">
        <v>3232</v>
      </c>
    </row>
    <row r="1257" spans="2:5" ht="33.75" customHeight="1">
      <c r="B1257" s="60">
        <v>1255</v>
      </c>
      <c r="C1257" s="61" t="s">
        <v>3233</v>
      </c>
      <c r="D1257" s="62" t="s">
        <v>3234</v>
      </c>
      <c r="E1257" s="63" t="s">
        <v>3235</v>
      </c>
    </row>
    <row r="1258" spans="2:5" ht="33.75" customHeight="1">
      <c r="B1258" s="60">
        <v>1256</v>
      </c>
      <c r="C1258" s="61" t="s">
        <v>3236</v>
      </c>
      <c r="D1258" s="62" t="s">
        <v>3237</v>
      </c>
      <c r="E1258" s="64" t="s">
        <v>3238</v>
      </c>
    </row>
    <row r="1259" spans="2:5" ht="33.75" customHeight="1">
      <c r="B1259" s="60">
        <v>1257</v>
      </c>
      <c r="C1259" s="61" t="s">
        <v>3239</v>
      </c>
      <c r="D1259" s="62" t="s">
        <v>3240</v>
      </c>
      <c r="E1259" s="63" t="s">
        <v>3241</v>
      </c>
    </row>
    <row r="1260" spans="2:5" ht="33.75" customHeight="1">
      <c r="B1260" s="60">
        <v>1258</v>
      </c>
      <c r="C1260" s="61" t="s">
        <v>3242</v>
      </c>
      <c r="D1260" s="62" t="s">
        <v>3243</v>
      </c>
      <c r="E1260" s="63" t="s">
        <v>3244</v>
      </c>
    </row>
    <row r="1261" spans="2:5" ht="33.75" customHeight="1">
      <c r="B1261" s="60">
        <v>1259</v>
      </c>
      <c r="C1261" s="61" t="s">
        <v>3245</v>
      </c>
      <c r="D1261" s="62" t="s">
        <v>3246</v>
      </c>
      <c r="E1261" s="63" t="s">
        <v>3247</v>
      </c>
    </row>
    <row r="1262" spans="2:5" ht="33.75" customHeight="1">
      <c r="B1262" s="60">
        <v>1260</v>
      </c>
      <c r="C1262" s="61" t="s">
        <v>3248</v>
      </c>
      <c r="D1262" s="62" t="s">
        <v>3249</v>
      </c>
      <c r="E1262" s="63" t="s">
        <v>3250</v>
      </c>
    </row>
    <row r="1263" spans="2:5" ht="33.75" customHeight="1">
      <c r="B1263" s="60">
        <v>1261</v>
      </c>
      <c r="C1263" s="61" t="s">
        <v>3251</v>
      </c>
      <c r="D1263" s="62" t="s">
        <v>3252</v>
      </c>
      <c r="E1263" s="63" t="s">
        <v>3253</v>
      </c>
    </row>
    <row r="1264" spans="2:5" ht="33.75" customHeight="1">
      <c r="B1264" s="60">
        <v>1262</v>
      </c>
      <c r="C1264" s="61" t="s">
        <v>3254</v>
      </c>
      <c r="D1264" s="62" t="s">
        <v>3255</v>
      </c>
      <c r="E1264" s="63" t="s">
        <v>3256</v>
      </c>
    </row>
    <row r="1265" spans="2:5" ht="33.75" customHeight="1">
      <c r="B1265" s="60">
        <v>1263</v>
      </c>
      <c r="C1265" s="61" t="s">
        <v>3257</v>
      </c>
      <c r="D1265" s="62" t="s">
        <v>3258</v>
      </c>
      <c r="E1265" s="63" t="s">
        <v>3259</v>
      </c>
    </row>
    <row r="1266" spans="2:5" ht="33.75" customHeight="1">
      <c r="B1266" s="60">
        <v>1264</v>
      </c>
      <c r="C1266" s="61" t="s">
        <v>3260</v>
      </c>
      <c r="D1266" s="62" t="s">
        <v>3261</v>
      </c>
      <c r="E1266" s="63" t="s">
        <v>3262</v>
      </c>
    </row>
    <row r="1267" spans="2:5" ht="33.75" customHeight="1">
      <c r="B1267" s="60">
        <v>1265</v>
      </c>
      <c r="C1267" s="61" t="s">
        <v>3263</v>
      </c>
      <c r="D1267" s="62" t="s">
        <v>3264</v>
      </c>
      <c r="E1267" s="63"/>
    </row>
    <row r="1268" spans="2:5" ht="33.75" customHeight="1">
      <c r="B1268" s="60">
        <v>1266</v>
      </c>
      <c r="C1268" s="61" t="s">
        <v>3265</v>
      </c>
      <c r="D1268" s="62" t="s">
        <v>3266</v>
      </c>
      <c r="E1268" s="63" t="s">
        <v>3267</v>
      </c>
    </row>
    <row r="1269" spans="2:5" ht="33.75" customHeight="1">
      <c r="B1269" s="60">
        <v>1267</v>
      </c>
      <c r="C1269" s="61" t="s">
        <v>3268</v>
      </c>
      <c r="D1269" s="62" t="s">
        <v>3269</v>
      </c>
      <c r="E1269" s="63" t="s">
        <v>3270</v>
      </c>
    </row>
    <row r="1270" spans="2:5" ht="33.75" customHeight="1">
      <c r="B1270" s="60">
        <v>1268</v>
      </c>
      <c r="C1270" s="61" t="s">
        <v>3271</v>
      </c>
      <c r="D1270" s="62" t="s">
        <v>3272</v>
      </c>
      <c r="E1270" s="63"/>
    </row>
    <row r="1271" spans="2:5" ht="33.75" customHeight="1">
      <c r="B1271" s="60">
        <v>1269</v>
      </c>
      <c r="C1271" s="61" t="s">
        <v>3273</v>
      </c>
      <c r="D1271" s="62" t="s">
        <v>3274</v>
      </c>
      <c r="E1271" s="63" t="s">
        <v>3275</v>
      </c>
    </row>
    <row r="1272" spans="2:5" ht="33.75" customHeight="1">
      <c r="B1272" s="60">
        <v>1270</v>
      </c>
      <c r="C1272" s="61" t="s">
        <v>3276</v>
      </c>
      <c r="D1272" s="62" t="s">
        <v>3277</v>
      </c>
      <c r="E1272" s="63" t="s">
        <v>3278</v>
      </c>
    </row>
    <row r="1273" spans="2:5" ht="33.75" customHeight="1">
      <c r="B1273" s="60">
        <v>1271</v>
      </c>
      <c r="C1273" s="61" t="s">
        <v>3279</v>
      </c>
      <c r="D1273" s="62" t="s">
        <v>3280</v>
      </c>
      <c r="E1273" s="63" t="s">
        <v>3281</v>
      </c>
    </row>
    <row r="1274" spans="2:5" ht="33.75" customHeight="1">
      <c r="B1274" s="60">
        <v>1272</v>
      </c>
      <c r="C1274" s="61" t="s">
        <v>3282</v>
      </c>
      <c r="D1274" s="62" t="s">
        <v>3283</v>
      </c>
      <c r="E1274" s="63" t="s">
        <v>3284</v>
      </c>
    </row>
    <row r="1275" spans="2:5" ht="33.75" customHeight="1">
      <c r="B1275" s="60">
        <v>1273</v>
      </c>
      <c r="C1275" s="61" t="s">
        <v>3285</v>
      </c>
      <c r="D1275" s="62" t="s">
        <v>3286</v>
      </c>
      <c r="E1275" s="64" t="s">
        <v>3287</v>
      </c>
    </row>
    <row r="1276" spans="2:5" ht="33.75" customHeight="1">
      <c r="B1276" s="60">
        <v>1274</v>
      </c>
      <c r="C1276" s="61" t="s">
        <v>3288</v>
      </c>
      <c r="D1276" s="62" t="s">
        <v>3289</v>
      </c>
      <c r="E1276" s="63"/>
    </row>
    <row r="1277" spans="2:5" ht="33.75" customHeight="1">
      <c r="B1277" s="60">
        <v>1275</v>
      </c>
      <c r="C1277" s="61" t="s">
        <v>3290</v>
      </c>
      <c r="D1277" s="62" t="s">
        <v>3291</v>
      </c>
      <c r="E1277" s="63"/>
    </row>
    <row r="1278" spans="2:5" ht="33.75" customHeight="1">
      <c r="B1278" s="60">
        <v>1276</v>
      </c>
      <c r="C1278" s="61" t="s">
        <v>3292</v>
      </c>
      <c r="D1278" s="62" t="s">
        <v>3293</v>
      </c>
      <c r="E1278" s="64" t="s">
        <v>3287</v>
      </c>
    </row>
    <row r="1279" spans="2:5" ht="33.75" customHeight="1">
      <c r="B1279" s="60">
        <v>1277</v>
      </c>
      <c r="C1279" s="61" t="s">
        <v>3294</v>
      </c>
      <c r="D1279" s="62" t="s">
        <v>3295</v>
      </c>
      <c r="E1279" s="63" t="s">
        <v>3296</v>
      </c>
    </row>
    <row r="1280" spans="2:5" ht="33.75" customHeight="1">
      <c r="B1280" s="60">
        <v>1278</v>
      </c>
      <c r="C1280" s="61" t="s">
        <v>3297</v>
      </c>
      <c r="D1280" s="62" t="s">
        <v>3298</v>
      </c>
      <c r="E1280" s="63" t="s">
        <v>3299</v>
      </c>
    </row>
    <row r="1281" spans="2:5" ht="33.75" customHeight="1">
      <c r="B1281" s="60">
        <v>1279</v>
      </c>
      <c r="C1281" s="61" t="s">
        <v>3300</v>
      </c>
      <c r="D1281" s="62" t="s">
        <v>3301</v>
      </c>
      <c r="E1281" s="63" t="s">
        <v>3302</v>
      </c>
    </row>
    <row r="1282" spans="2:5" ht="33.75" customHeight="1">
      <c r="B1282" s="60">
        <v>1280</v>
      </c>
      <c r="C1282" s="61" t="s">
        <v>3303</v>
      </c>
      <c r="D1282" s="62" t="s">
        <v>3304</v>
      </c>
      <c r="E1282" s="63" t="s">
        <v>3305</v>
      </c>
    </row>
    <row r="1283" spans="2:5" ht="33.75" customHeight="1">
      <c r="B1283" s="60">
        <v>1281</v>
      </c>
      <c r="C1283" s="61" t="s">
        <v>3306</v>
      </c>
      <c r="D1283" s="62" t="s">
        <v>3307</v>
      </c>
      <c r="E1283" s="63" t="s">
        <v>3308</v>
      </c>
    </row>
    <row r="1284" spans="2:5" ht="33.75" customHeight="1">
      <c r="B1284" s="60">
        <v>1282</v>
      </c>
      <c r="C1284" s="61" t="s">
        <v>3309</v>
      </c>
      <c r="D1284" s="62" t="s">
        <v>3310</v>
      </c>
      <c r="E1284" s="63" t="s">
        <v>3311</v>
      </c>
    </row>
    <row r="1285" spans="2:5" ht="33.75" customHeight="1">
      <c r="B1285" s="60">
        <v>1283</v>
      </c>
      <c r="C1285" s="61" t="s">
        <v>3312</v>
      </c>
      <c r="D1285" s="62" t="s">
        <v>3313</v>
      </c>
      <c r="E1285" s="63" t="s">
        <v>3314</v>
      </c>
    </row>
    <row r="1286" spans="2:5" ht="33.75" customHeight="1">
      <c r="B1286" s="60">
        <v>1284</v>
      </c>
      <c r="C1286" s="61" t="s">
        <v>3315</v>
      </c>
      <c r="D1286" s="62" t="s">
        <v>3316</v>
      </c>
      <c r="E1286" s="63" t="s">
        <v>3317</v>
      </c>
    </row>
    <row r="1287" spans="2:5" ht="33.75" customHeight="1">
      <c r="B1287" s="60">
        <v>1285</v>
      </c>
      <c r="C1287" s="61" t="s">
        <v>3318</v>
      </c>
      <c r="D1287" s="62" t="s">
        <v>3319</v>
      </c>
      <c r="E1287" s="63" t="s">
        <v>3320</v>
      </c>
    </row>
    <row r="1288" spans="2:5" ht="33.75" customHeight="1">
      <c r="B1288" s="60">
        <v>1286</v>
      </c>
      <c r="C1288" s="61" t="s">
        <v>3321</v>
      </c>
      <c r="D1288" s="62" t="s">
        <v>3322</v>
      </c>
      <c r="E1288" s="63" t="s">
        <v>3323</v>
      </c>
    </row>
    <row r="1289" spans="2:5" ht="33.75" customHeight="1">
      <c r="B1289" s="60">
        <v>1287</v>
      </c>
      <c r="C1289" s="61" t="s">
        <v>3324</v>
      </c>
      <c r="D1289" s="62" t="s">
        <v>3325</v>
      </c>
      <c r="E1289" s="63" t="s">
        <v>3326</v>
      </c>
    </row>
    <row r="1290" spans="2:5" ht="33.75" customHeight="1">
      <c r="B1290" s="60">
        <v>1288</v>
      </c>
      <c r="C1290" s="61" t="s">
        <v>3327</v>
      </c>
      <c r="D1290" s="62" t="s">
        <v>3328</v>
      </c>
      <c r="E1290" s="63" t="s">
        <v>3329</v>
      </c>
    </row>
    <row r="1291" spans="2:5" ht="33.75" customHeight="1">
      <c r="B1291" s="60">
        <v>1289</v>
      </c>
      <c r="C1291" s="61" t="s">
        <v>3330</v>
      </c>
      <c r="D1291" s="62" t="s">
        <v>3331</v>
      </c>
      <c r="E1291" s="63" t="s">
        <v>3332</v>
      </c>
    </row>
    <row r="1292" spans="2:5" ht="33.75" customHeight="1">
      <c r="B1292" s="60">
        <v>1290</v>
      </c>
      <c r="C1292" s="61" t="s">
        <v>3333</v>
      </c>
      <c r="D1292" s="62" t="s">
        <v>3334</v>
      </c>
      <c r="E1292" s="63" t="s">
        <v>3335</v>
      </c>
    </row>
    <row r="1293" spans="2:5" ht="33.75" customHeight="1">
      <c r="B1293" s="60">
        <v>1291</v>
      </c>
      <c r="C1293" s="61" t="s">
        <v>3336</v>
      </c>
      <c r="D1293" s="62" t="s">
        <v>3337</v>
      </c>
      <c r="E1293" s="63" t="s">
        <v>3338</v>
      </c>
    </row>
    <row r="1294" spans="2:5" ht="33.75" customHeight="1">
      <c r="B1294" s="60">
        <v>1292</v>
      </c>
      <c r="C1294" s="61" t="s">
        <v>3339</v>
      </c>
      <c r="D1294" s="62" t="s">
        <v>3340</v>
      </c>
      <c r="E1294" s="63" t="s">
        <v>3341</v>
      </c>
    </row>
    <row r="1295" spans="2:5" ht="33.75" customHeight="1">
      <c r="B1295" s="60">
        <v>1293</v>
      </c>
      <c r="C1295" s="61" t="s">
        <v>3342</v>
      </c>
      <c r="D1295" s="62" t="s">
        <v>3343</v>
      </c>
      <c r="E1295" s="63" t="s">
        <v>3344</v>
      </c>
    </row>
    <row r="1296" spans="2:5" ht="33.75" customHeight="1">
      <c r="B1296" s="60">
        <v>1294</v>
      </c>
      <c r="C1296" s="61" t="s">
        <v>3345</v>
      </c>
      <c r="D1296" s="62" t="s">
        <v>3346</v>
      </c>
      <c r="E1296" s="63" t="s">
        <v>3347</v>
      </c>
    </row>
    <row r="1297" spans="2:5" ht="33.75" customHeight="1">
      <c r="B1297" s="60">
        <v>1295</v>
      </c>
      <c r="C1297" s="61" t="s">
        <v>3348</v>
      </c>
      <c r="D1297" s="62" t="s">
        <v>3349</v>
      </c>
      <c r="E1297" s="63" t="s">
        <v>3350</v>
      </c>
    </row>
    <row r="1298" spans="2:5" ht="33.75" customHeight="1">
      <c r="B1298" s="60">
        <v>1296</v>
      </c>
      <c r="C1298" s="61" t="s">
        <v>3351</v>
      </c>
      <c r="D1298" s="62" t="s">
        <v>3352</v>
      </c>
      <c r="E1298" s="63" t="s">
        <v>3353</v>
      </c>
    </row>
    <row r="1299" spans="2:5" ht="33.75" customHeight="1">
      <c r="B1299" s="60">
        <v>1297</v>
      </c>
      <c r="C1299" s="61" t="s">
        <v>3354</v>
      </c>
      <c r="D1299" s="62" t="s">
        <v>3355</v>
      </c>
      <c r="E1299" s="63" t="s">
        <v>3356</v>
      </c>
    </row>
    <row r="1300" spans="2:5" ht="33.75" customHeight="1">
      <c r="B1300" s="60">
        <v>1298</v>
      </c>
      <c r="C1300" s="61" t="s">
        <v>3357</v>
      </c>
      <c r="D1300" s="62" t="s">
        <v>3358</v>
      </c>
      <c r="E1300" s="63" t="s">
        <v>3359</v>
      </c>
    </row>
    <row r="1301" spans="2:5" ht="33.75" customHeight="1">
      <c r="B1301" s="60">
        <v>1299</v>
      </c>
      <c r="C1301" s="61" t="s">
        <v>3360</v>
      </c>
      <c r="D1301" s="62" t="s">
        <v>3361</v>
      </c>
      <c r="E1301" s="63" t="s">
        <v>3362</v>
      </c>
    </row>
    <row r="1302" spans="2:5" ht="33.75" customHeight="1">
      <c r="B1302" s="60">
        <v>1300</v>
      </c>
      <c r="C1302" s="61" t="s">
        <v>3363</v>
      </c>
      <c r="D1302" s="62" t="s">
        <v>3364</v>
      </c>
      <c r="E1302" s="63" t="s">
        <v>3365</v>
      </c>
    </row>
    <row r="1303" spans="2:5" ht="33.75" customHeight="1">
      <c r="B1303" s="60">
        <v>1301</v>
      </c>
      <c r="C1303" s="61" t="s">
        <v>3366</v>
      </c>
      <c r="D1303" s="62" t="s">
        <v>3367</v>
      </c>
      <c r="E1303" s="63"/>
    </row>
    <row r="1304" spans="2:5" ht="33.75" customHeight="1">
      <c r="B1304" s="60">
        <v>1302</v>
      </c>
      <c r="C1304" s="61" t="s">
        <v>3368</v>
      </c>
      <c r="D1304" s="62" t="s">
        <v>3369</v>
      </c>
      <c r="E1304" s="63" t="s">
        <v>3370</v>
      </c>
    </row>
    <row r="1305" spans="2:5" ht="33.75" customHeight="1">
      <c r="B1305" s="60">
        <v>1303</v>
      </c>
      <c r="C1305" s="61" t="s">
        <v>3371</v>
      </c>
      <c r="D1305" s="62" t="s">
        <v>3372</v>
      </c>
      <c r="E1305" s="63"/>
    </row>
    <row r="1306" spans="2:5" ht="33.75" customHeight="1">
      <c r="B1306" s="60">
        <v>1304</v>
      </c>
      <c r="C1306" s="61" t="s">
        <v>3373</v>
      </c>
      <c r="D1306" s="62" t="s">
        <v>3374</v>
      </c>
      <c r="E1306" s="63"/>
    </row>
    <row r="1307" spans="2:5" ht="33.75" customHeight="1">
      <c r="B1307" s="60">
        <v>1305</v>
      </c>
      <c r="C1307" s="61" t="s">
        <v>3375</v>
      </c>
      <c r="D1307" s="62" t="s">
        <v>3376</v>
      </c>
      <c r="E1307" s="63" t="s">
        <v>3377</v>
      </c>
    </row>
    <row r="1308" spans="2:5" ht="33.75" customHeight="1">
      <c r="B1308" s="60">
        <v>1306</v>
      </c>
      <c r="C1308" s="61" t="s">
        <v>3378</v>
      </c>
      <c r="D1308" s="62" t="s">
        <v>3379</v>
      </c>
      <c r="E1308" s="63" t="s">
        <v>3380</v>
      </c>
    </row>
    <row r="1309" spans="2:5" ht="33.75" customHeight="1">
      <c r="B1309" s="60">
        <v>1307</v>
      </c>
      <c r="C1309" s="61" t="s">
        <v>3381</v>
      </c>
      <c r="D1309" s="62" t="s">
        <v>3382</v>
      </c>
      <c r="E1309" s="63"/>
    </row>
    <row r="1310" spans="2:5" ht="33.75" customHeight="1">
      <c r="B1310" s="60">
        <v>1308</v>
      </c>
      <c r="C1310" s="61" t="s">
        <v>3383</v>
      </c>
      <c r="D1310" s="62" t="s">
        <v>3384</v>
      </c>
      <c r="E1310" s="63" t="s">
        <v>3385</v>
      </c>
    </row>
    <row r="1311" spans="2:5" ht="33.75" customHeight="1">
      <c r="B1311" s="60">
        <v>1309</v>
      </c>
      <c r="C1311" s="61" t="s">
        <v>3386</v>
      </c>
      <c r="D1311" s="62" t="s">
        <v>3387</v>
      </c>
      <c r="E1311" s="63"/>
    </row>
    <row r="1312" spans="2:5" ht="33.75" customHeight="1">
      <c r="B1312" s="60">
        <v>1310</v>
      </c>
      <c r="C1312" s="61" t="s">
        <v>3388</v>
      </c>
      <c r="D1312" s="62" t="s">
        <v>3389</v>
      </c>
      <c r="E1312" s="63"/>
    </row>
    <row r="1313" spans="2:5" ht="33.75" customHeight="1">
      <c r="B1313" s="60">
        <v>1311</v>
      </c>
      <c r="C1313" s="61" t="s">
        <v>3390</v>
      </c>
      <c r="D1313" s="62" t="s">
        <v>3391</v>
      </c>
      <c r="E1313" s="63"/>
    </row>
    <row r="1314" spans="2:5" ht="33.75" customHeight="1">
      <c r="B1314" s="60">
        <v>1312</v>
      </c>
      <c r="C1314" s="61" t="s">
        <v>3392</v>
      </c>
      <c r="D1314" s="62" t="s">
        <v>3393</v>
      </c>
      <c r="E1314" s="63"/>
    </row>
    <row r="1315" spans="2:5" ht="33.75" customHeight="1">
      <c r="B1315" s="60">
        <v>1313</v>
      </c>
      <c r="C1315" s="61" t="s">
        <v>3394</v>
      </c>
      <c r="D1315" s="62" t="s">
        <v>3395</v>
      </c>
      <c r="E1315" s="63"/>
    </row>
    <row r="1316" spans="2:5" ht="33.75" customHeight="1">
      <c r="B1316" s="60">
        <v>1314</v>
      </c>
      <c r="C1316" s="61" t="s">
        <v>3396</v>
      </c>
      <c r="D1316" s="62" t="s">
        <v>3397</v>
      </c>
      <c r="E1316" s="63"/>
    </row>
    <row r="1317" spans="2:5" ht="33.75" customHeight="1">
      <c r="B1317" s="60">
        <v>1315</v>
      </c>
      <c r="C1317" s="61" t="s">
        <v>3398</v>
      </c>
      <c r="D1317" s="62" t="s">
        <v>3399</v>
      </c>
      <c r="E1317" s="63" t="s">
        <v>3400</v>
      </c>
    </row>
    <row r="1318" spans="2:5" ht="33.75" customHeight="1">
      <c r="B1318" s="60">
        <v>1316</v>
      </c>
      <c r="C1318" s="61" t="s">
        <v>3401</v>
      </c>
      <c r="D1318" s="62" t="s">
        <v>3402</v>
      </c>
      <c r="E1318" s="63" t="s">
        <v>3403</v>
      </c>
    </row>
    <row r="1319" spans="2:5" ht="33.75" customHeight="1">
      <c r="B1319" s="60">
        <v>1317</v>
      </c>
      <c r="C1319" s="61" t="s">
        <v>3404</v>
      </c>
      <c r="D1319" s="62" t="s">
        <v>3405</v>
      </c>
      <c r="E1319" s="63" t="s">
        <v>3406</v>
      </c>
    </row>
    <row r="1320" spans="2:5" ht="33.75" customHeight="1">
      <c r="B1320" s="60">
        <v>1318</v>
      </c>
      <c r="C1320" s="61" t="s">
        <v>3407</v>
      </c>
      <c r="D1320" s="62" t="s">
        <v>3408</v>
      </c>
      <c r="E1320" s="63" t="s">
        <v>3409</v>
      </c>
    </row>
    <row r="1321" spans="2:5" ht="33.75" customHeight="1">
      <c r="B1321" s="60">
        <v>1319</v>
      </c>
      <c r="C1321" s="61" t="s">
        <v>3410</v>
      </c>
      <c r="D1321" s="62" t="s">
        <v>3411</v>
      </c>
      <c r="E1321" s="63"/>
    </row>
    <row r="1322" spans="2:5" ht="33.75" customHeight="1">
      <c r="B1322" s="60">
        <v>1320</v>
      </c>
      <c r="C1322" s="61" t="s">
        <v>3412</v>
      </c>
      <c r="D1322" s="65" t="s">
        <v>3413</v>
      </c>
      <c r="E1322" s="63" t="s">
        <v>3414</v>
      </c>
    </row>
    <row r="1323" spans="2:5" ht="33.75" customHeight="1">
      <c r="B1323" s="60">
        <v>1321</v>
      </c>
      <c r="C1323" s="61" t="s">
        <v>3415</v>
      </c>
      <c r="D1323" s="62" t="s">
        <v>3416</v>
      </c>
      <c r="E1323" s="63"/>
    </row>
    <row r="1324" spans="2:5" ht="33.75" customHeight="1">
      <c r="B1324" s="60">
        <v>1322</v>
      </c>
      <c r="C1324" s="61" t="s">
        <v>3417</v>
      </c>
      <c r="D1324" s="62" t="s">
        <v>3418</v>
      </c>
      <c r="E1324" s="63"/>
    </row>
    <row r="1325" spans="2:5" ht="33.75" customHeight="1">
      <c r="B1325" s="60">
        <v>1323</v>
      </c>
      <c r="C1325" s="61" t="s">
        <v>3419</v>
      </c>
      <c r="D1325" s="62" t="s">
        <v>3420</v>
      </c>
      <c r="E1325" s="63"/>
    </row>
    <row r="1326" spans="2:5" ht="33.75" customHeight="1">
      <c r="B1326" s="60">
        <v>1324</v>
      </c>
      <c r="C1326" s="61" t="s">
        <v>3421</v>
      </c>
      <c r="D1326" s="62" t="s">
        <v>3422</v>
      </c>
      <c r="E1326" s="63"/>
    </row>
    <row r="1327" spans="2:5" ht="33.75" customHeight="1">
      <c r="B1327" s="60">
        <v>1325</v>
      </c>
      <c r="C1327" s="61" t="s">
        <v>3423</v>
      </c>
      <c r="D1327" s="62" t="s">
        <v>3424</v>
      </c>
      <c r="E1327" s="63"/>
    </row>
    <row r="1328" spans="2:5" ht="33.75" customHeight="1">
      <c r="B1328" s="60">
        <v>1326</v>
      </c>
      <c r="C1328" s="61" t="s">
        <v>3425</v>
      </c>
      <c r="D1328" s="62" t="s">
        <v>3426</v>
      </c>
      <c r="E1328" s="63"/>
    </row>
    <row r="1329" spans="2:5" ht="33.75" customHeight="1">
      <c r="B1329" s="60">
        <v>1327</v>
      </c>
      <c r="C1329" s="61" t="s">
        <v>3427</v>
      </c>
      <c r="D1329" s="62" t="s">
        <v>3428</v>
      </c>
      <c r="E1329" s="63"/>
    </row>
    <row r="1330" spans="2:5" ht="33.75" customHeight="1">
      <c r="B1330" s="60">
        <v>1328</v>
      </c>
      <c r="C1330" s="61" t="s">
        <v>3429</v>
      </c>
      <c r="D1330" s="62" t="s">
        <v>3430</v>
      </c>
      <c r="E1330" s="63"/>
    </row>
    <row r="1331" spans="2:5" ht="33.75" customHeight="1">
      <c r="B1331" s="60">
        <v>1329</v>
      </c>
      <c r="C1331" s="61" t="s">
        <v>3431</v>
      </c>
      <c r="D1331" s="62" t="s">
        <v>3432</v>
      </c>
      <c r="E1331" s="63" t="s">
        <v>3433</v>
      </c>
    </row>
    <row r="1332" spans="2:5" ht="33.75" customHeight="1">
      <c r="B1332" s="60">
        <v>1330</v>
      </c>
      <c r="C1332" s="61" t="s">
        <v>3434</v>
      </c>
      <c r="D1332" s="62" t="s">
        <v>3435</v>
      </c>
      <c r="E1332" s="63"/>
    </row>
    <row r="1333" spans="2:5" ht="33.75" customHeight="1">
      <c r="B1333" s="60">
        <v>1331</v>
      </c>
      <c r="C1333" s="61" t="s">
        <v>3436</v>
      </c>
      <c r="D1333" s="62" t="s">
        <v>3437</v>
      </c>
      <c r="E1333" s="63"/>
    </row>
    <row r="1334" spans="2:5" ht="33.75" customHeight="1">
      <c r="B1334" s="60">
        <v>1332</v>
      </c>
      <c r="C1334" s="61" t="s">
        <v>3438</v>
      </c>
      <c r="D1334" s="62" t="s">
        <v>3439</v>
      </c>
      <c r="E1334" s="63" t="s">
        <v>3440</v>
      </c>
    </row>
    <row r="1335" spans="2:5" ht="33.75" customHeight="1">
      <c r="B1335" s="60">
        <v>1333</v>
      </c>
      <c r="C1335" s="61" t="s">
        <v>3441</v>
      </c>
      <c r="D1335" s="62" t="s">
        <v>3442</v>
      </c>
      <c r="E1335" s="63" t="s">
        <v>3443</v>
      </c>
    </row>
    <row r="1336" spans="2:5" ht="33.75" customHeight="1">
      <c r="B1336" s="60">
        <v>1334</v>
      </c>
      <c r="C1336" s="61" t="s">
        <v>3444</v>
      </c>
      <c r="D1336" s="62" t="s">
        <v>3445</v>
      </c>
      <c r="E1336" s="63"/>
    </row>
    <row r="1337" spans="2:5" ht="33.75" customHeight="1">
      <c r="B1337" s="60">
        <v>1335</v>
      </c>
      <c r="C1337" s="61" t="s">
        <v>3446</v>
      </c>
      <c r="D1337" s="62" t="s">
        <v>3447</v>
      </c>
      <c r="E1337" s="63" t="s">
        <v>3448</v>
      </c>
    </row>
    <row r="1338" spans="2:5" ht="33.75" customHeight="1">
      <c r="B1338" s="60">
        <v>1336</v>
      </c>
      <c r="C1338" s="61" t="s">
        <v>3449</v>
      </c>
      <c r="D1338" s="62" t="s">
        <v>3450</v>
      </c>
      <c r="E1338" s="63"/>
    </row>
    <row r="1339" spans="2:5" ht="33.75" customHeight="1">
      <c r="B1339" s="60">
        <v>1337</v>
      </c>
      <c r="C1339" s="61" t="s">
        <v>3451</v>
      </c>
      <c r="D1339" s="62" t="s">
        <v>3452</v>
      </c>
      <c r="E1339" s="63" t="s">
        <v>3453</v>
      </c>
    </row>
    <row r="1340" spans="2:5" ht="33.75" customHeight="1">
      <c r="B1340" s="60">
        <v>1338</v>
      </c>
      <c r="C1340" s="61" t="s">
        <v>3454</v>
      </c>
      <c r="D1340" s="62" t="s">
        <v>3455</v>
      </c>
      <c r="E1340" s="63"/>
    </row>
    <row r="1341" spans="2:5" ht="33.75" customHeight="1">
      <c r="B1341" s="60">
        <v>1339</v>
      </c>
      <c r="C1341" s="61" t="s">
        <v>3456</v>
      </c>
      <c r="D1341" s="62" t="s">
        <v>3457</v>
      </c>
      <c r="E1341" s="63" t="s">
        <v>3458</v>
      </c>
    </row>
    <row r="1342" spans="2:5" ht="33.75" customHeight="1">
      <c r="B1342" s="60">
        <v>1340</v>
      </c>
      <c r="C1342" s="61" t="s">
        <v>3459</v>
      </c>
      <c r="D1342" s="62" t="s">
        <v>3460</v>
      </c>
      <c r="E1342" s="63"/>
    </row>
    <row r="1343" spans="2:5" ht="33.75" customHeight="1">
      <c r="B1343" s="60">
        <v>1341</v>
      </c>
      <c r="C1343" s="61" t="s">
        <v>3461</v>
      </c>
      <c r="D1343" s="62" t="s">
        <v>3462</v>
      </c>
      <c r="E1343" s="63" t="s">
        <v>3463</v>
      </c>
    </row>
    <row r="1344" spans="2:5" ht="33.75" customHeight="1">
      <c r="B1344" s="60">
        <v>1342</v>
      </c>
      <c r="C1344" s="61" t="s">
        <v>3464</v>
      </c>
      <c r="D1344" s="62" t="s">
        <v>3465</v>
      </c>
      <c r="E1344" s="63"/>
    </row>
    <row r="1345" spans="2:5" ht="33.75" customHeight="1">
      <c r="B1345" s="60">
        <v>1343</v>
      </c>
      <c r="C1345" s="61" t="s">
        <v>3466</v>
      </c>
      <c r="D1345" s="62" t="s">
        <v>3467</v>
      </c>
      <c r="E1345" s="63" t="s">
        <v>3468</v>
      </c>
    </row>
    <row r="1346" spans="2:5" ht="33.75" customHeight="1">
      <c r="B1346" s="60">
        <v>1344</v>
      </c>
      <c r="C1346" s="61" t="s">
        <v>3469</v>
      </c>
      <c r="D1346" s="62" t="s">
        <v>3470</v>
      </c>
      <c r="E1346" s="63"/>
    </row>
    <row r="1347" spans="2:5" ht="33.75" customHeight="1">
      <c r="B1347" s="60">
        <v>1345</v>
      </c>
      <c r="C1347" s="61" t="s">
        <v>3471</v>
      </c>
      <c r="D1347" s="62" t="s">
        <v>3472</v>
      </c>
      <c r="E1347" s="63"/>
    </row>
    <row r="1348" spans="2:5" ht="33.75" customHeight="1">
      <c r="B1348" s="60">
        <v>1346</v>
      </c>
      <c r="C1348" s="61" t="s">
        <v>3473</v>
      </c>
      <c r="D1348" s="62" t="s">
        <v>3474</v>
      </c>
      <c r="E1348" s="63"/>
    </row>
    <row r="1349" spans="2:5" ht="33.75" customHeight="1">
      <c r="B1349" s="60">
        <v>1347</v>
      </c>
      <c r="C1349" s="61" t="s">
        <v>3475</v>
      </c>
      <c r="D1349" s="62" t="s">
        <v>3476</v>
      </c>
      <c r="E1349" s="63" t="s">
        <v>3477</v>
      </c>
    </row>
    <row r="1350" spans="2:5" ht="33.75" customHeight="1">
      <c r="B1350" s="60">
        <v>1348</v>
      </c>
      <c r="C1350" s="61" t="s">
        <v>3478</v>
      </c>
      <c r="D1350" s="62" t="s">
        <v>3479</v>
      </c>
      <c r="E1350" s="63"/>
    </row>
    <row r="1351" spans="2:5" ht="33.75" customHeight="1">
      <c r="B1351" s="60">
        <v>1349</v>
      </c>
      <c r="C1351" s="61" t="s">
        <v>3480</v>
      </c>
      <c r="D1351" s="62" t="s">
        <v>3481</v>
      </c>
      <c r="E1351" s="63" t="s">
        <v>3482</v>
      </c>
    </row>
    <row r="1352" spans="2:5" ht="33.75" customHeight="1">
      <c r="B1352" s="60">
        <v>1350</v>
      </c>
      <c r="C1352" s="61" t="s">
        <v>3483</v>
      </c>
      <c r="D1352" s="62" t="s">
        <v>3484</v>
      </c>
      <c r="E1352" s="63"/>
    </row>
    <row r="1353" spans="2:5" ht="33.75" customHeight="1">
      <c r="B1353" s="60">
        <v>1351</v>
      </c>
      <c r="C1353" s="61" t="s">
        <v>3485</v>
      </c>
      <c r="D1353" s="62" t="s">
        <v>3486</v>
      </c>
      <c r="E1353" s="63"/>
    </row>
    <row r="1354" spans="2:5" ht="33.75" customHeight="1">
      <c r="B1354" s="60">
        <v>1352</v>
      </c>
      <c r="C1354" s="61" t="s">
        <v>3487</v>
      </c>
      <c r="D1354" s="62" t="s">
        <v>3488</v>
      </c>
      <c r="E1354" s="63" t="s">
        <v>3489</v>
      </c>
    </row>
    <row r="1355" spans="2:5" ht="33.75" customHeight="1">
      <c r="B1355" s="60">
        <v>1353</v>
      </c>
      <c r="C1355" s="61" t="s">
        <v>3490</v>
      </c>
      <c r="D1355" s="62" t="s">
        <v>3491</v>
      </c>
      <c r="E1355" s="63"/>
    </row>
    <row r="1356" spans="2:5" ht="33.75" customHeight="1">
      <c r="B1356" s="60">
        <v>1354</v>
      </c>
      <c r="C1356" s="61" t="s">
        <v>3492</v>
      </c>
      <c r="D1356" s="62" t="s">
        <v>3493</v>
      </c>
      <c r="E1356" s="63" t="s">
        <v>3494</v>
      </c>
    </row>
    <row r="1357" spans="2:5" ht="33.75" customHeight="1">
      <c r="B1357" s="60">
        <v>1355</v>
      </c>
      <c r="C1357" s="61" t="s">
        <v>3495</v>
      </c>
      <c r="D1357" s="62" t="s">
        <v>3496</v>
      </c>
      <c r="E1357" s="63" t="s">
        <v>3497</v>
      </c>
    </row>
    <row r="1358" spans="2:5" ht="33.75" customHeight="1">
      <c r="B1358" s="60">
        <v>1356</v>
      </c>
      <c r="C1358" s="61" t="s">
        <v>3498</v>
      </c>
      <c r="D1358" s="62" t="s">
        <v>3499</v>
      </c>
      <c r="E1358" s="63" t="s">
        <v>3500</v>
      </c>
    </row>
    <row r="1359" spans="2:5" ht="33.75" customHeight="1">
      <c r="B1359" s="60">
        <v>1357</v>
      </c>
      <c r="C1359" s="61" t="s">
        <v>3501</v>
      </c>
      <c r="D1359" s="62" t="s">
        <v>3502</v>
      </c>
      <c r="E1359" s="63" t="s">
        <v>3503</v>
      </c>
    </row>
    <row r="1360" spans="2:5" ht="33.75" customHeight="1">
      <c r="B1360" s="60">
        <v>1358</v>
      </c>
      <c r="C1360" s="61" t="s">
        <v>3504</v>
      </c>
      <c r="D1360" s="62" t="s">
        <v>3505</v>
      </c>
      <c r="E1360" s="63"/>
    </row>
    <row r="1361" spans="2:5" ht="33.75" customHeight="1">
      <c r="B1361" s="60">
        <v>1359</v>
      </c>
      <c r="C1361" s="61" t="s">
        <v>3506</v>
      </c>
      <c r="D1361" s="62" t="s">
        <v>3507</v>
      </c>
      <c r="E1361" s="63" t="s">
        <v>3508</v>
      </c>
    </row>
    <row r="1362" spans="2:5" ht="33.75" customHeight="1">
      <c r="B1362" s="60">
        <v>1360</v>
      </c>
      <c r="C1362" s="61" t="s">
        <v>3509</v>
      </c>
      <c r="D1362" s="62" t="s">
        <v>3510</v>
      </c>
      <c r="E1362" s="63" t="s">
        <v>3511</v>
      </c>
    </row>
    <row r="1363" spans="2:5" ht="33.75" customHeight="1">
      <c r="B1363" s="60">
        <v>1361</v>
      </c>
      <c r="C1363" s="61" t="s">
        <v>3512</v>
      </c>
      <c r="D1363" s="62" t="s">
        <v>3513</v>
      </c>
      <c r="E1363" s="63"/>
    </row>
    <row r="1364" spans="2:5" ht="33.75" customHeight="1">
      <c r="B1364" s="60">
        <v>1362</v>
      </c>
      <c r="C1364" s="61" t="s">
        <v>3514</v>
      </c>
      <c r="D1364" s="62" t="s">
        <v>3515</v>
      </c>
      <c r="E1364" s="63"/>
    </row>
    <row r="1365" spans="2:5" ht="33.75" customHeight="1">
      <c r="B1365" s="60">
        <v>1363</v>
      </c>
      <c r="C1365" s="61" t="s">
        <v>3516</v>
      </c>
      <c r="D1365" s="62" t="s">
        <v>3517</v>
      </c>
      <c r="E1365" s="63" t="s">
        <v>3518</v>
      </c>
    </row>
    <row r="1366" spans="2:5" ht="33.75" customHeight="1">
      <c r="B1366" s="60">
        <v>1364</v>
      </c>
      <c r="C1366" s="61" t="s">
        <v>3519</v>
      </c>
      <c r="D1366" s="62" t="s">
        <v>3520</v>
      </c>
      <c r="E1366" s="63"/>
    </row>
    <row r="1367" spans="2:5" ht="33.75" customHeight="1">
      <c r="B1367" s="60">
        <v>1365</v>
      </c>
      <c r="C1367" s="61" t="s">
        <v>3521</v>
      </c>
      <c r="D1367" s="62" t="s">
        <v>3522</v>
      </c>
      <c r="E1367" s="63" t="s">
        <v>3523</v>
      </c>
    </row>
    <row r="1368" spans="2:5" ht="33.75" customHeight="1">
      <c r="B1368" s="60">
        <v>1366</v>
      </c>
      <c r="C1368" s="61" t="s">
        <v>3524</v>
      </c>
      <c r="D1368" s="62" t="s">
        <v>3525</v>
      </c>
      <c r="E1368" s="63"/>
    </row>
    <row r="1369" spans="2:5" ht="33.75" customHeight="1">
      <c r="B1369" s="60">
        <v>1367</v>
      </c>
      <c r="C1369" s="61" t="s">
        <v>3526</v>
      </c>
      <c r="D1369" s="62" t="s">
        <v>3527</v>
      </c>
      <c r="E1369" s="63"/>
    </row>
    <row r="1370" spans="2:5" ht="33.75" customHeight="1">
      <c r="B1370" s="60">
        <v>1368</v>
      </c>
      <c r="C1370" s="61" t="s">
        <v>3528</v>
      </c>
      <c r="D1370" s="62" t="s">
        <v>3529</v>
      </c>
      <c r="E1370" s="63"/>
    </row>
    <row r="1371" spans="2:5" ht="33.75" customHeight="1">
      <c r="B1371" s="60">
        <v>1369</v>
      </c>
      <c r="C1371" s="61" t="s">
        <v>3530</v>
      </c>
      <c r="D1371" s="62" t="s">
        <v>3531</v>
      </c>
      <c r="E1371" s="63" t="s">
        <v>3532</v>
      </c>
    </row>
    <row r="1372" spans="2:5" ht="33.75" customHeight="1">
      <c r="B1372" s="60">
        <v>1370</v>
      </c>
      <c r="C1372" s="61" t="s">
        <v>3533</v>
      </c>
      <c r="D1372" s="62" t="s">
        <v>3534</v>
      </c>
      <c r="E1372" s="63" t="s">
        <v>3535</v>
      </c>
    </row>
    <row r="1373" spans="2:5" ht="33.75" customHeight="1">
      <c r="B1373" s="60">
        <v>1371</v>
      </c>
      <c r="C1373" s="61" t="s">
        <v>3536</v>
      </c>
      <c r="D1373" s="62" t="s">
        <v>3537</v>
      </c>
      <c r="E1373" s="63" t="s">
        <v>3538</v>
      </c>
    </row>
    <row r="1374" spans="2:5" ht="33.75" customHeight="1">
      <c r="B1374" s="60">
        <v>1372</v>
      </c>
      <c r="C1374" s="61" t="s">
        <v>3539</v>
      </c>
      <c r="D1374" s="62" t="s">
        <v>3540</v>
      </c>
      <c r="E1374" s="63"/>
    </row>
    <row r="1375" spans="2:5" ht="33.75" customHeight="1">
      <c r="B1375" s="60">
        <v>1373</v>
      </c>
      <c r="C1375" s="61" t="s">
        <v>3541</v>
      </c>
      <c r="D1375" s="62" t="s">
        <v>3542</v>
      </c>
      <c r="E1375" s="63"/>
    </row>
    <row r="1376" spans="2:5" ht="33.75" customHeight="1">
      <c r="B1376" s="60">
        <v>1374</v>
      </c>
      <c r="C1376" s="61" t="s">
        <v>3543</v>
      </c>
      <c r="D1376" s="62" t="s">
        <v>3544</v>
      </c>
      <c r="E1376" s="63"/>
    </row>
    <row r="1377" spans="2:5" ht="33.75" customHeight="1">
      <c r="B1377" s="60">
        <v>1375</v>
      </c>
      <c r="C1377" s="61" t="s">
        <v>3545</v>
      </c>
      <c r="D1377" s="62" t="s">
        <v>3546</v>
      </c>
      <c r="E1377" s="63"/>
    </row>
    <row r="1378" spans="2:5" ht="33.75" customHeight="1">
      <c r="B1378" s="60">
        <v>1376</v>
      </c>
      <c r="C1378" s="61" t="s">
        <v>3547</v>
      </c>
      <c r="D1378" s="62" t="s">
        <v>3548</v>
      </c>
      <c r="E1378" s="63"/>
    </row>
    <row r="1379" spans="2:5" ht="33.75" customHeight="1">
      <c r="B1379" s="60">
        <v>1377</v>
      </c>
      <c r="C1379" s="61" t="s">
        <v>3549</v>
      </c>
      <c r="D1379" s="62" t="s">
        <v>3550</v>
      </c>
      <c r="E1379" s="63"/>
    </row>
    <row r="1380" spans="2:5" ht="33.75" customHeight="1">
      <c r="B1380" s="60">
        <v>1378</v>
      </c>
      <c r="C1380" s="61" t="s">
        <v>3551</v>
      </c>
      <c r="D1380" s="62" t="s">
        <v>3552</v>
      </c>
      <c r="E1380" s="63"/>
    </row>
    <row r="1381" spans="2:5" ht="33.75" customHeight="1">
      <c r="B1381" s="60">
        <v>1379</v>
      </c>
      <c r="C1381" s="61" t="s">
        <v>3553</v>
      </c>
      <c r="D1381" s="62" t="s">
        <v>3554</v>
      </c>
      <c r="E1381" s="63" t="s">
        <v>3555</v>
      </c>
    </row>
    <row r="1382" spans="2:5" ht="33.75" customHeight="1">
      <c r="B1382" s="60">
        <v>1380</v>
      </c>
      <c r="C1382" s="61" t="s">
        <v>3556</v>
      </c>
      <c r="D1382" s="62" t="s">
        <v>3557</v>
      </c>
      <c r="E1382" s="63" t="s">
        <v>3558</v>
      </c>
    </row>
    <row r="1383" spans="2:5" ht="33.75" customHeight="1">
      <c r="B1383" s="60">
        <v>1381</v>
      </c>
      <c r="C1383" s="61" t="s">
        <v>3559</v>
      </c>
      <c r="D1383" s="62" t="s">
        <v>3560</v>
      </c>
      <c r="E1383" s="63"/>
    </row>
    <row r="1384" spans="2:5" ht="33.75" customHeight="1">
      <c r="B1384" s="60">
        <v>1382</v>
      </c>
      <c r="C1384" s="61" t="s">
        <v>3561</v>
      </c>
      <c r="D1384" s="62" t="s">
        <v>3562</v>
      </c>
      <c r="E1384" s="63"/>
    </row>
    <row r="1385" spans="2:5" ht="33.75" customHeight="1">
      <c r="B1385" s="60">
        <v>1383</v>
      </c>
      <c r="C1385" s="61" t="s">
        <v>3563</v>
      </c>
      <c r="D1385" s="62" t="s">
        <v>3564</v>
      </c>
      <c r="E1385" s="63"/>
    </row>
    <row r="1386" spans="2:5" ht="33.75" customHeight="1">
      <c r="B1386" s="60">
        <v>1384</v>
      </c>
      <c r="C1386" s="61" t="s">
        <v>3565</v>
      </c>
      <c r="D1386" s="62" t="s">
        <v>3566</v>
      </c>
      <c r="E1386" s="63"/>
    </row>
    <row r="1387" spans="2:5" ht="33.75" customHeight="1">
      <c r="B1387" s="60">
        <v>1385</v>
      </c>
      <c r="C1387" s="61" t="s">
        <v>3567</v>
      </c>
      <c r="D1387" s="62" t="s">
        <v>3568</v>
      </c>
      <c r="E1387" s="63"/>
    </row>
    <row r="1388" spans="2:5" ht="33.75" customHeight="1">
      <c r="B1388" s="60">
        <v>1386</v>
      </c>
      <c r="C1388" s="61" t="s">
        <v>3569</v>
      </c>
      <c r="D1388" s="62" t="s">
        <v>3570</v>
      </c>
      <c r="E1388" s="63"/>
    </row>
    <row r="1389" spans="2:5" ht="33.75" customHeight="1">
      <c r="B1389" s="60">
        <v>1387</v>
      </c>
      <c r="C1389" s="61" t="s">
        <v>3571</v>
      </c>
      <c r="D1389" s="62" t="s">
        <v>3572</v>
      </c>
      <c r="E1389" s="63"/>
    </row>
    <row r="1390" spans="2:5" ht="33.75" customHeight="1">
      <c r="B1390" s="60">
        <v>1388</v>
      </c>
      <c r="C1390" s="61" t="s">
        <v>3573</v>
      </c>
      <c r="D1390" s="62" t="s">
        <v>3574</v>
      </c>
      <c r="E1390" s="63"/>
    </row>
    <row r="1391" spans="2:5" ht="33.75" customHeight="1">
      <c r="B1391" s="60">
        <v>1389</v>
      </c>
      <c r="C1391" s="61" t="s">
        <v>3575</v>
      </c>
      <c r="D1391" s="62" t="s">
        <v>3576</v>
      </c>
      <c r="E1391" s="63" t="s">
        <v>3577</v>
      </c>
    </row>
    <row r="1392" spans="2:5" ht="33.75" customHeight="1">
      <c r="B1392" s="60">
        <v>1390</v>
      </c>
      <c r="C1392" s="61" t="s">
        <v>3578</v>
      </c>
      <c r="D1392" s="62" t="s">
        <v>3579</v>
      </c>
      <c r="E1392" s="63" t="s">
        <v>3580</v>
      </c>
    </row>
    <row r="1393" spans="2:5" ht="33.75" customHeight="1">
      <c r="B1393" s="60">
        <v>1391</v>
      </c>
      <c r="C1393" s="61" t="s">
        <v>3581</v>
      </c>
      <c r="D1393" s="62" t="s">
        <v>3582</v>
      </c>
      <c r="E1393" s="63"/>
    </row>
    <row r="1394" spans="2:5" ht="33.75" customHeight="1">
      <c r="B1394" s="60">
        <v>1392</v>
      </c>
      <c r="C1394" s="61" t="s">
        <v>3583</v>
      </c>
      <c r="D1394" s="62" t="s">
        <v>3584</v>
      </c>
      <c r="E1394" s="63"/>
    </row>
    <row r="1395" spans="2:5" ht="33.75" customHeight="1">
      <c r="B1395" s="60">
        <v>1393</v>
      </c>
      <c r="C1395" s="61" t="s">
        <v>3585</v>
      </c>
      <c r="D1395" s="62" t="s">
        <v>3586</v>
      </c>
      <c r="E1395" s="63" t="s">
        <v>3587</v>
      </c>
    </row>
    <row r="1396" spans="2:5" ht="33.75" customHeight="1">
      <c r="B1396" s="60">
        <v>1394</v>
      </c>
      <c r="C1396" s="61" t="s">
        <v>3588</v>
      </c>
      <c r="D1396" s="62" t="s">
        <v>3589</v>
      </c>
      <c r="E1396" s="63"/>
    </row>
    <row r="1397" spans="2:5" ht="33.75" customHeight="1">
      <c r="B1397" s="60">
        <v>1395</v>
      </c>
      <c r="C1397" s="61" t="s">
        <v>3590</v>
      </c>
      <c r="D1397" s="62" t="s">
        <v>3591</v>
      </c>
      <c r="E1397" s="63" t="s">
        <v>3592</v>
      </c>
    </row>
    <row r="1398" spans="2:5" ht="33.75" customHeight="1">
      <c r="B1398" s="60">
        <v>1396</v>
      </c>
      <c r="C1398" s="61" t="s">
        <v>3593</v>
      </c>
      <c r="D1398" s="62" t="s">
        <v>3594</v>
      </c>
      <c r="E1398" s="63"/>
    </row>
    <row r="1399" spans="2:5" ht="33.75" customHeight="1">
      <c r="B1399" s="60">
        <v>1397</v>
      </c>
      <c r="C1399" s="61" t="s">
        <v>3595</v>
      </c>
      <c r="D1399" s="62" t="s">
        <v>3596</v>
      </c>
      <c r="E1399" s="63"/>
    </row>
    <row r="1400" spans="2:5" ht="33.75" customHeight="1">
      <c r="B1400" s="60">
        <v>1398</v>
      </c>
      <c r="C1400" s="61" t="s">
        <v>3597</v>
      </c>
      <c r="D1400" s="62" t="s">
        <v>3598</v>
      </c>
      <c r="E1400" s="63" t="s">
        <v>3599</v>
      </c>
    </row>
    <row r="1401" spans="2:5" ht="33.75" customHeight="1">
      <c r="B1401" s="60">
        <v>1399</v>
      </c>
      <c r="C1401" s="61" t="s">
        <v>3600</v>
      </c>
      <c r="D1401" s="62" t="s">
        <v>3601</v>
      </c>
      <c r="E1401" s="63" t="s">
        <v>3602</v>
      </c>
    </row>
    <row r="1402" spans="2:5" ht="33.75" customHeight="1">
      <c r="B1402" s="60">
        <v>1400</v>
      </c>
      <c r="C1402" s="61" t="s">
        <v>3603</v>
      </c>
      <c r="D1402" s="62" t="s">
        <v>3411</v>
      </c>
      <c r="E1402" s="63" t="s">
        <v>3604</v>
      </c>
    </row>
    <row r="1403" spans="2:5" ht="33.75" customHeight="1">
      <c r="B1403" s="60">
        <v>1401</v>
      </c>
      <c r="C1403" s="61" t="s">
        <v>3605</v>
      </c>
      <c r="D1403" s="62" t="s">
        <v>3606</v>
      </c>
      <c r="E1403" s="63" t="s">
        <v>3607</v>
      </c>
    </row>
    <row r="1404" spans="2:5" ht="33.75" customHeight="1">
      <c r="B1404" s="60">
        <v>1402</v>
      </c>
      <c r="C1404" s="61" t="s">
        <v>3608</v>
      </c>
      <c r="D1404" s="62" t="s">
        <v>3609</v>
      </c>
      <c r="E1404" s="63" t="s">
        <v>3610</v>
      </c>
    </row>
    <row r="1405" spans="2:5" ht="33.75" customHeight="1">
      <c r="B1405" s="60">
        <v>1403</v>
      </c>
      <c r="C1405" s="61" t="s">
        <v>3611</v>
      </c>
      <c r="D1405" s="62" t="s">
        <v>3612</v>
      </c>
      <c r="E1405" s="63" t="s">
        <v>3613</v>
      </c>
    </row>
    <row r="1406" spans="2:5" ht="33.75" customHeight="1">
      <c r="B1406" s="60">
        <v>1404</v>
      </c>
      <c r="C1406" s="61" t="s">
        <v>3614</v>
      </c>
      <c r="D1406" s="62" t="s">
        <v>3615</v>
      </c>
      <c r="E1406" s="63" t="s">
        <v>3616</v>
      </c>
    </row>
    <row r="1407" spans="2:5" ht="33.75" customHeight="1">
      <c r="B1407" s="60">
        <v>1405</v>
      </c>
      <c r="C1407" s="61" t="s">
        <v>3617</v>
      </c>
      <c r="D1407" s="62" t="s">
        <v>3618</v>
      </c>
      <c r="E1407" s="63"/>
    </row>
    <row r="1408" spans="2:5" ht="33.75" customHeight="1">
      <c r="B1408" s="60">
        <v>1406</v>
      </c>
      <c r="C1408" s="61" t="s">
        <v>3619</v>
      </c>
      <c r="D1408" s="62" t="s">
        <v>3620</v>
      </c>
      <c r="E1408" s="63"/>
    </row>
    <row r="1409" spans="2:5" ht="33.75" customHeight="1">
      <c r="B1409" s="60">
        <v>1407</v>
      </c>
      <c r="C1409" s="61" t="s">
        <v>3621</v>
      </c>
      <c r="D1409" s="62" t="s">
        <v>3622</v>
      </c>
      <c r="E1409" s="63" t="s">
        <v>3623</v>
      </c>
    </row>
    <row r="1410" spans="2:5" ht="33.75" customHeight="1">
      <c r="B1410" s="60">
        <v>1408</v>
      </c>
      <c r="C1410" s="61" t="s">
        <v>3624</v>
      </c>
      <c r="D1410" s="62" t="s">
        <v>3625</v>
      </c>
      <c r="E1410" s="63"/>
    </row>
    <row r="1411" spans="2:5" ht="33.75" customHeight="1">
      <c r="B1411" s="60">
        <v>1409</v>
      </c>
      <c r="C1411" s="61" t="s">
        <v>3626</v>
      </c>
      <c r="D1411" s="62" t="s">
        <v>3540</v>
      </c>
      <c r="E1411" s="63"/>
    </row>
    <row r="1412" spans="2:5" ht="33.75" customHeight="1">
      <c r="B1412" s="60">
        <v>1410</v>
      </c>
      <c r="C1412" s="61" t="s">
        <v>3627</v>
      </c>
      <c r="D1412" s="62" t="s">
        <v>3628</v>
      </c>
      <c r="E1412" s="63" t="s">
        <v>3629</v>
      </c>
    </row>
    <row r="1413" spans="2:5" ht="33.75" customHeight="1">
      <c r="B1413" s="60">
        <v>1411</v>
      </c>
      <c r="C1413" s="61" t="s">
        <v>3630</v>
      </c>
      <c r="D1413" s="62" t="s">
        <v>3631</v>
      </c>
      <c r="E1413" s="63"/>
    </row>
    <row r="1414" spans="2:5" ht="33.75" customHeight="1">
      <c r="B1414" s="60">
        <v>1412</v>
      </c>
      <c r="C1414" s="61" t="s">
        <v>3632</v>
      </c>
      <c r="D1414" s="62" t="s">
        <v>3546</v>
      </c>
      <c r="E1414" s="63" t="s">
        <v>3633</v>
      </c>
    </row>
    <row r="1415" spans="2:5" ht="33.75" customHeight="1">
      <c r="B1415" s="60">
        <v>1413</v>
      </c>
      <c r="C1415" s="61" t="s">
        <v>3634</v>
      </c>
      <c r="D1415" s="62" t="s">
        <v>3635</v>
      </c>
      <c r="E1415" s="63"/>
    </row>
    <row r="1416" spans="2:5" ht="33.75" customHeight="1">
      <c r="B1416" s="60">
        <v>1414</v>
      </c>
      <c r="C1416" s="61" t="s">
        <v>3636</v>
      </c>
      <c r="D1416" s="62" t="s">
        <v>3637</v>
      </c>
      <c r="E1416" s="63"/>
    </row>
    <row r="1417" spans="2:5" ht="33.75" customHeight="1">
      <c r="B1417" s="60">
        <v>1415</v>
      </c>
      <c r="C1417" s="61" t="s">
        <v>3638</v>
      </c>
      <c r="D1417" s="62" t="s">
        <v>3552</v>
      </c>
      <c r="E1417" s="63"/>
    </row>
    <row r="1418" spans="2:5" ht="33.75" customHeight="1">
      <c r="B1418" s="60">
        <v>1416</v>
      </c>
      <c r="C1418" s="61" t="s">
        <v>3639</v>
      </c>
      <c r="D1418" s="62" t="s">
        <v>3640</v>
      </c>
      <c r="E1418" s="63" t="s">
        <v>3555</v>
      </c>
    </row>
    <row r="1419" spans="2:5" ht="33.75" customHeight="1">
      <c r="B1419" s="60">
        <v>1417</v>
      </c>
      <c r="C1419" s="61" t="s">
        <v>3641</v>
      </c>
      <c r="D1419" s="62" t="s">
        <v>3642</v>
      </c>
      <c r="E1419" s="63"/>
    </row>
    <row r="1420" spans="2:5" ht="33.75" customHeight="1">
      <c r="B1420" s="60">
        <v>1418</v>
      </c>
      <c r="C1420" s="61" t="s">
        <v>3643</v>
      </c>
      <c r="D1420" s="62" t="s">
        <v>3644</v>
      </c>
      <c r="E1420" s="63"/>
    </row>
    <row r="1421" spans="2:5" ht="33.75" customHeight="1">
      <c r="B1421" s="60">
        <v>1419</v>
      </c>
      <c r="C1421" s="61" t="s">
        <v>3645</v>
      </c>
      <c r="D1421" s="62" t="s">
        <v>3646</v>
      </c>
      <c r="E1421" s="63"/>
    </row>
    <row r="1422" spans="2:5" ht="33.75" customHeight="1">
      <c r="B1422" s="60">
        <v>1420</v>
      </c>
      <c r="C1422" s="61" t="s">
        <v>3647</v>
      </c>
      <c r="D1422" s="62" t="s">
        <v>3564</v>
      </c>
      <c r="E1422" s="63"/>
    </row>
    <row r="1423" spans="2:5" ht="33.75" customHeight="1">
      <c r="B1423" s="60">
        <v>1421</v>
      </c>
      <c r="C1423" s="61" t="s">
        <v>3648</v>
      </c>
      <c r="D1423" s="62" t="s">
        <v>3649</v>
      </c>
      <c r="E1423" s="63"/>
    </row>
    <row r="1424" spans="2:5" ht="33.75" customHeight="1">
      <c r="B1424" s="60">
        <v>1422</v>
      </c>
      <c r="C1424" s="61" t="s">
        <v>3650</v>
      </c>
      <c r="D1424" s="62" t="s">
        <v>3651</v>
      </c>
      <c r="E1424" s="63"/>
    </row>
    <row r="1425" spans="2:5" ht="33.75" customHeight="1">
      <c r="B1425" s="60">
        <v>1423</v>
      </c>
      <c r="C1425" s="61" t="s">
        <v>3652</v>
      </c>
      <c r="D1425" s="62" t="s">
        <v>3653</v>
      </c>
      <c r="E1425" s="63"/>
    </row>
    <row r="1426" spans="2:5" ht="33.75" customHeight="1">
      <c r="B1426" s="60">
        <v>1424</v>
      </c>
      <c r="C1426" s="61" t="s">
        <v>3654</v>
      </c>
      <c r="D1426" s="62" t="s">
        <v>3572</v>
      </c>
      <c r="E1426" s="63"/>
    </row>
    <row r="1427" spans="2:5" ht="33.75" customHeight="1">
      <c r="B1427" s="60">
        <v>1425</v>
      </c>
      <c r="C1427" s="61" t="s">
        <v>3655</v>
      </c>
      <c r="D1427" s="62" t="s">
        <v>3574</v>
      </c>
      <c r="E1427" s="63"/>
    </row>
    <row r="1428" spans="2:5" ht="33.75" customHeight="1">
      <c r="B1428" s="60">
        <v>1426</v>
      </c>
      <c r="C1428" s="61" t="s">
        <v>3656</v>
      </c>
      <c r="D1428" s="62" t="s">
        <v>3657</v>
      </c>
      <c r="E1428" s="63" t="s">
        <v>3658</v>
      </c>
    </row>
    <row r="1429" spans="2:5" ht="33.75" customHeight="1">
      <c r="B1429" s="60">
        <v>1427</v>
      </c>
      <c r="C1429" s="61" t="s">
        <v>3659</v>
      </c>
      <c r="D1429" s="62" t="s">
        <v>3660</v>
      </c>
      <c r="E1429" s="63" t="s">
        <v>3661</v>
      </c>
    </row>
    <row r="1430" spans="2:5" ht="33.75" customHeight="1">
      <c r="B1430" s="60">
        <v>1428</v>
      </c>
      <c r="C1430" s="61" t="s">
        <v>3662</v>
      </c>
      <c r="D1430" s="62" t="s">
        <v>3582</v>
      </c>
      <c r="E1430" s="63" t="s">
        <v>3663</v>
      </c>
    </row>
    <row r="1431" spans="2:5" ht="33.75" customHeight="1">
      <c r="B1431" s="60">
        <v>1429</v>
      </c>
      <c r="C1431" s="61" t="s">
        <v>3664</v>
      </c>
      <c r="D1431" s="62" t="s">
        <v>3591</v>
      </c>
      <c r="E1431" s="63" t="s">
        <v>3592</v>
      </c>
    </row>
    <row r="1432" spans="2:5" ht="33.75" customHeight="1">
      <c r="B1432" s="60">
        <v>1430</v>
      </c>
      <c r="C1432" s="61" t="s">
        <v>3665</v>
      </c>
      <c r="D1432" s="62" t="s">
        <v>3666</v>
      </c>
      <c r="E1432" s="63"/>
    </row>
    <row r="1433" spans="2:5" ht="33.75" customHeight="1">
      <c r="B1433" s="60">
        <v>1431</v>
      </c>
      <c r="C1433" s="61" t="s">
        <v>3667</v>
      </c>
      <c r="D1433" s="62" t="s">
        <v>3668</v>
      </c>
      <c r="E1433" s="63"/>
    </row>
    <row r="1434" spans="2:5" ht="33.75" customHeight="1">
      <c r="B1434" s="60">
        <v>1432</v>
      </c>
      <c r="C1434" s="61" t="s">
        <v>3669</v>
      </c>
      <c r="D1434" s="62" t="s">
        <v>3670</v>
      </c>
      <c r="E1434" s="63" t="s">
        <v>3671</v>
      </c>
    </row>
    <row r="1435" spans="2:5" ht="33.75" customHeight="1">
      <c r="B1435" s="60">
        <v>1433</v>
      </c>
      <c r="C1435" s="61" t="s">
        <v>3672</v>
      </c>
      <c r="D1435" s="62" t="s">
        <v>3673</v>
      </c>
      <c r="E1435" s="63" t="s">
        <v>3674</v>
      </c>
    </row>
    <row r="1436" spans="2:5" ht="33.75" customHeight="1">
      <c r="B1436" s="60">
        <v>1434</v>
      </c>
      <c r="C1436" s="61" t="s">
        <v>3675</v>
      </c>
      <c r="D1436" s="62" t="s">
        <v>3676</v>
      </c>
      <c r="E1436" s="63"/>
    </row>
    <row r="1437" spans="2:5" ht="33.75" customHeight="1">
      <c r="B1437" s="60">
        <v>1435</v>
      </c>
      <c r="C1437" s="61" t="s">
        <v>3677</v>
      </c>
      <c r="D1437" s="62" t="s">
        <v>3678</v>
      </c>
      <c r="E1437" s="63" t="s">
        <v>3679</v>
      </c>
    </row>
    <row r="1438" spans="2:5" ht="33.75" customHeight="1">
      <c r="B1438" s="60">
        <v>1436</v>
      </c>
      <c r="C1438" s="61" t="s">
        <v>3680</v>
      </c>
      <c r="D1438" s="62" t="s">
        <v>3681</v>
      </c>
      <c r="E1438" s="63"/>
    </row>
    <row r="1439" spans="2:5" ht="33.75" customHeight="1">
      <c r="B1439" s="60">
        <v>1437</v>
      </c>
      <c r="C1439" s="61" t="s">
        <v>3682</v>
      </c>
      <c r="D1439" s="62" t="s">
        <v>3683</v>
      </c>
      <c r="E1439" s="63" t="s">
        <v>3684</v>
      </c>
    </row>
    <row r="1440" spans="2:5" ht="33.75" customHeight="1">
      <c r="B1440" s="60">
        <v>1438</v>
      </c>
      <c r="C1440" s="61" t="s">
        <v>3685</v>
      </c>
      <c r="D1440" s="62" t="s">
        <v>3686</v>
      </c>
      <c r="E1440" s="63"/>
    </row>
    <row r="1441" spans="2:5" ht="33.75" customHeight="1">
      <c r="B1441" s="60">
        <v>1439</v>
      </c>
      <c r="C1441" s="61" t="s">
        <v>3687</v>
      </c>
      <c r="D1441" s="62" t="s">
        <v>3688</v>
      </c>
      <c r="E1441" s="63"/>
    </row>
    <row r="1442" spans="2:5" ht="33.75" customHeight="1">
      <c r="B1442" s="60">
        <v>1440</v>
      </c>
      <c r="C1442" s="61" t="s">
        <v>3689</v>
      </c>
      <c r="D1442" s="62" t="s">
        <v>3690</v>
      </c>
      <c r="E1442" s="63" t="s">
        <v>3691</v>
      </c>
    </row>
    <row r="1443" spans="2:5" ht="33.75" customHeight="1">
      <c r="B1443" s="60">
        <v>1441</v>
      </c>
      <c r="C1443" s="61" t="s">
        <v>3692</v>
      </c>
      <c r="D1443" s="62" t="s">
        <v>3693</v>
      </c>
      <c r="E1443" s="63"/>
    </row>
    <row r="1444" spans="2:5" ht="33.75" customHeight="1">
      <c r="B1444" s="60">
        <v>1442</v>
      </c>
      <c r="C1444" s="61" t="s">
        <v>3694</v>
      </c>
      <c r="D1444" s="62" t="s">
        <v>3695</v>
      </c>
      <c r="E1444" s="63"/>
    </row>
    <row r="1445" spans="2:5" ht="33.75" customHeight="1">
      <c r="B1445" s="60">
        <v>1443</v>
      </c>
      <c r="C1445" s="61" t="s">
        <v>3696</v>
      </c>
      <c r="D1445" s="62" t="s">
        <v>3697</v>
      </c>
      <c r="E1445" s="63" t="s">
        <v>3698</v>
      </c>
    </row>
    <row r="1446" spans="2:5" ht="33.75" customHeight="1">
      <c r="B1446" s="60">
        <v>1444</v>
      </c>
      <c r="C1446" s="61" t="s">
        <v>3699</v>
      </c>
      <c r="D1446" s="62" t="s">
        <v>3700</v>
      </c>
      <c r="E1446" s="63" t="s">
        <v>3701</v>
      </c>
    </row>
    <row r="1447" spans="2:5" ht="33.75" customHeight="1">
      <c r="B1447" s="60">
        <v>1445</v>
      </c>
      <c r="C1447" s="61" t="s">
        <v>3702</v>
      </c>
      <c r="D1447" s="62" t="s">
        <v>3703</v>
      </c>
      <c r="E1447" s="63"/>
    </row>
    <row r="1448" spans="2:5" ht="33.75" customHeight="1">
      <c r="B1448" s="60">
        <v>1446</v>
      </c>
      <c r="C1448" s="61" t="s">
        <v>3704</v>
      </c>
      <c r="D1448" s="62" t="s">
        <v>3705</v>
      </c>
      <c r="E1448" s="63"/>
    </row>
    <row r="1449" spans="2:5" ht="33.75" customHeight="1">
      <c r="B1449" s="60">
        <v>1447</v>
      </c>
      <c r="C1449" s="61" t="s">
        <v>3706</v>
      </c>
      <c r="D1449" s="62" t="s">
        <v>3707</v>
      </c>
      <c r="E1449" s="63"/>
    </row>
    <row r="1450" spans="2:5" ht="33.75" customHeight="1">
      <c r="B1450" s="60">
        <v>1448</v>
      </c>
      <c r="C1450" s="61" t="s">
        <v>3708</v>
      </c>
      <c r="D1450" s="62" t="s">
        <v>3709</v>
      </c>
      <c r="E1450" s="63"/>
    </row>
    <row r="1451" spans="2:5" ht="33.75" customHeight="1">
      <c r="B1451" s="60">
        <v>1449</v>
      </c>
      <c r="C1451" s="61" t="s">
        <v>3710</v>
      </c>
      <c r="D1451" s="62" t="s">
        <v>3711</v>
      </c>
      <c r="E1451" s="63" t="s">
        <v>3712</v>
      </c>
    </row>
    <row r="1452" spans="2:5" ht="33.75" customHeight="1">
      <c r="B1452" s="60">
        <v>1450</v>
      </c>
      <c r="C1452" s="61" t="s">
        <v>3713</v>
      </c>
      <c r="D1452" s="62" t="s">
        <v>3714</v>
      </c>
      <c r="E1452" s="63"/>
    </row>
    <row r="1453" spans="2:5" ht="33.75" customHeight="1">
      <c r="B1453" s="60">
        <v>1451</v>
      </c>
      <c r="C1453" s="61" t="s">
        <v>3715</v>
      </c>
      <c r="D1453" s="62" t="s">
        <v>3716</v>
      </c>
      <c r="E1453" s="63" t="s">
        <v>3717</v>
      </c>
    </row>
    <row r="1454" spans="2:5" ht="33.75" customHeight="1">
      <c r="B1454" s="60">
        <v>1452</v>
      </c>
      <c r="C1454" s="61" t="s">
        <v>3718</v>
      </c>
      <c r="D1454" s="62" t="s">
        <v>3719</v>
      </c>
      <c r="E1454" s="63" t="s">
        <v>3720</v>
      </c>
    </row>
    <row r="1455" spans="2:5" ht="33.75" customHeight="1">
      <c r="B1455" s="60">
        <v>1453</v>
      </c>
      <c r="C1455" s="61" t="s">
        <v>3721</v>
      </c>
      <c r="D1455" s="62" t="s">
        <v>1057</v>
      </c>
      <c r="E1455" s="63" t="s">
        <v>3722</v>
      </c>
    </row>
    <row r="1456" spans="2:5" ht="33.75" customHeight="1">
      <c r="B1456" s="60">
        <v>1454</v>
      </c>
      <c r="C1456" s="61" t="s">
        <v>3723</v>
      </c>
      <c r="D1456" s="62" t="s">
        <v>1037</v>
      </c>
      <c r="E1456" s="63"/>
    </row>
    <row r="1457" spans="2:5" ht="33.75" customHeight="1">
      <c r="B1457" s="60">
        <v>1455</v>
      </c>
      <c r="C1457" s="61" t="s">
        <v>3724</v>
      </c>
      <c r="D1457" s="62" t="s">
        <v>3725</v>
      </c>
      <c r="E1457" s="63" t="s">
        <v>3726</v>
      </c>
    </row>
    <row r="1458" spans="2:5" ht="33.75" customHeight="1">
      <c r="B1458" s="60">
        <v>1456</v>
      </c>
      <c r="C1458" s="61" t="s">
        <v>3727</v>
      </c>
      <c r="D1458" s="62" t="s">
        <v>3728</v>
      </c>
      <c r="E1458" s="63"/>
    </row>
    <row r="1459" spans="2:5" ht="33.75" customHeight="1">
      <c r="B1459" s="60">
        <v>1457</v>
      </c>
      <c r="C1459" s="61" t="s">
        <v>3729</v>
      </c>
      <c r="D1459" s="62" t="s">
        <v>3730</v>
      </c>
      <c r="E1459" s="63"/>
    </row>
    <row r="1460" spans="2:5" ht="33.75" customHeight="1">
      <c r="B1460" s="60">
        <v>1458</v>
      </c>
      <c r="C1460" s="61" t="s">
        <v>3731</v>
      </c>
      <c r="D1460" s="62" t="s">
        <v>3732</v>
      </c>
      <c r="E1460" s="63"/>
    </row>
    <row r="1461" spans="2:5" ht="33.75" customHeight="1">
      <c r="B1461" s="60">
        <v>1459</v>
      </c>
      <c r="C1461" s="61" t="s">
        <v>3733</v>
      </c>
      <c r="D1461" s="62" t="s">
        <v>3734</v>
      </c>
      <c r="E1461" s="63"/>
    </row>
    <row r="1462" spans="2:5" ht="33.75" customHeight="1">
      <c r="B1462" s="60">
        <v>1460</v>
      </c>
      <c r="C1462" s="61" t="s">
        <v>3735</v>
      </c>
      <c r="D1462" s="62" t="s">
        <v>3736</v>
      </c>
      <c r="E1462" s="63"/>
    </row>
    <row r="1463" spans="2:5" ht="33.75" customHeight="1">
      <c r="B1463" s="60">
        <v>1461</v>
      </c>
      <c r="C1463" s="61" t="s">
        <v>3737</v>
      </c>
      <c r="D1463" s="62" t="s">
        <v>1044</v>
      </c>
      <c r="E1463" s="63"/>
    </row>
    <row r="1464" spans="2:5" ht="33.75" customHeight="1">
      <c r="B1464" s="60">
        <v>1462</v>
      </c>
      <c r="C1464" s="61" t="s">
        <v>3738</v>
      </c>
      <c r="D1464" s="62" t="s">
        <v>3739</v>
      </c>
      <c r="E1464" s="63"/>
    </row>
    <row r="1465" spans="2:5" ht="33.75" customHeight="1">
      <c r="B1465" s="60">
        <v>1463</v>
      </c>
      <c r="C1465" s="61" t="s">
        <v>3740</v>
      </c>
      <c r="D1465" s="62" t="s">
        <v>3741</v>
      </c>
      <c r="E1465" s="63"/>
    </row>
    <row r="1466" spans="2:5" ht="33.75" customHeight="1">
      <c r="B1466" s="60">
        <v>1464</v>
      </c>
      <c r="C1466" s="61" t="s">
        <v>3742</v>
      </c>
      <c r="D1466" s="62" t="s">
        <v>3743</v>
      </c>
      <c r="E1466" s="63"/>
    </row>
    <row r="1467" spans="2:5" ht="33.75" customHeight="1">
      <c r="B1467" s="60">
        <v>1465</v>
      </c>
      <c r="C1467" s="61" t="s">
        <v>3744</v>
      </c>
      <c r="D1467" s="62" t="s">
        <v>1050</v>
      </c>
      <c r="E1467" s="63" t="s">
        <v>3745</v>
      </c>
    </row>
    <row r="1468" spans="2:5" ht="33.75" customHeight="1">
      <c r="B1468" s="60">
        <v>1466</v>
      </c>
      <c r="C1468" s="61" t="s">
        <v>3746</v>
      </c>
      <c r="D1468" s="62" t="s">
        <v>3747</v>
      </c>
      <c r="E1468" s="63" t="s">
        <v>3748</v>
      </c>
    </row>
    <row r="1469" spans="2:5" ht="33.75" customHeight="1">
      <c r="B1469" s="60">
        <v>1467</v>
      </c>
      <c r="C1469" s="61" t="s">
        <v>3749</v>
      </c>
      <c r="D1469" s="62" t="s">
        <v>3750</v>
      </c>
      <c r="E1469" s="63" t="s">
        <v>3751</v>
      </c>
    </row>
    <row r="1470" spans="2:5" ht="33.75" customHeight="1">
      <c r="B1470" s="60">
        <v>1468</v>
      </c>
      <c r="C1470" s="61" t="s">
        <v>3752</v>
      </c>
      <c r="D1470" s="62" t="s">
        <v>3753</v>
      </c>
      <c r="E1470" s="63"/>
    </row>
    <row r="1471" spans="2:5" ht="33.75" customHeight="1">
      <c r="B1471" s="60">
        <v>1469</v>
      </c>
      <c r="C1471" s="61" t="s">
        <v>3754</v>
      </c>
      <c r="D1471" s="62" t="s">
        <v>3755</v>
      </c>
      <c r="E1471" s="63"/>
    </row>
    <row r="1472" spans="2:5" ht="33.75" customHeight="1">
      <c r="B1472" s="60">
        <v>1470</v>
      </c>
      <c r="C1472" s="61" t="s">
        <v>3756</v>
      </c>
      <c r="D1472" s="62" t="s">
        <v>3757</v>
      </c>
      <c r="E1472" s="63"/>
    </row>
    <row r="1473" spans="2:5" ht="33.75" customHeight="1">
      <c r="B1473" s="60">
        <v>1471</v>
      </c>
      <c r="C1473" s="61" t="s">
        <v>3758</v>
      </c>
      <c r="D1473" s="62" t="s">
        <v>1018</v>
      </c>
      <c r="E1473" s="63" t="s">
        <v>3759</v>
      </c>
    </row>
    <row r="1474" spans="2:5" ht="33.75" customHeight="1">
      <c r="B1474" s="60">
        <v>1472</v>
      </c>
      <c r="C1474" s="61" t="s">
        <v>3760</v>
      </c>
      <c r="D1474" s="62" t="s">
        <v>3761</v>
      </c>
      <c r="E1474" s="63"/>
    </row>
    <row r="1475" spans="2:5" ht="33.75" customHeight="1">
      <c r="B1475" s="60">
        <v>1473</v>
      </c>
      <c r="C1475" s="61" t="s">
        <v>3762</v>
      </c>
      <c r="D1475" s="62" t="s">
        <v>3763</v>
      </c>
      <c r="E1475" s="63"/>
    </row>
    <row r="1476" spans="2:5" ht="33.75" customHeight="1">
      <c r="B1476" s="60">
        <v>1474</v>
      </c>
      <c r="C1476" s="61" t="s">
        <v>3764</v>
      </c>
      <c r="D1476" s="62" t="s">
        <v>1023</v>
      </c>
      <c r="E1476" s="63"/>
    </row>
    <row r="1477" spans="2:5" ht="33.75" customHeight="1">
      <c r="B1477" s="60">
        <v>1475</v>
      </c>
      <c r="C1477" s="61" t="s">
        <v>3765</v>
      </c>
      <c r="D1477" s="62" t="s">
        <v>3766</v>
      </c>
      <c r="E1477" s="63" t="s">
        <v>3767</v>
      </c>
    </row>
    <row r="1478" spans="2:5" ht="33.75" customHeight="1">
      <c r="B1478" s="60">
        <v>1476</v>
      </c>
      <c r="C1478" s="61" t="s">
        <v>3768</v>
      </c>
      <c r="D1478" s="62" t="s">
        <v>3769</v>
      </c>
      <c r="E1478" s="63"/>
    </row>
    <row r="1479" spans="2:5" ht="33.75" customHeight="1">
      <c r="B1479" s="60">
        <v>1477</v>
      </c>
      <c r="C1479" s="61" t="s">
        <v>3770</v>
      </c>
      <c r="D1479" s="62" t="s">
        <v>1027</v>
      </c>
      <c r="E1479" s="63"/>
    </row>
    <row r="1480" spans="2:5" ht="33.75" customHeight="1">
      <c r="B1480" s="60">
        <v>1478</v>
      </c>
      <c r="C1480" s="61" t="s">
        <v>3771</v>
      </c>
      <c r="D1480" s="62" t="s">
        <v>3772</v>
      </c>
      <c r="E1480" s="63" t="s">
        <v>3773</v>
      </c>
    </row>
    <row r="1481" spans="2:5" ht="33.75" customHeight="1">
      <c r="B1481" s="60">
        <v>1479</v>
      </c>
      <c r="C1481" s="61" t="s">
        <v>3774</v>
      </c>
      <c r="D1481" s="62" t="s">
        <v>3775</v>
      </c>
      <c r="E1481" s="63"/>
    </row>
    <row r="1482" spans="2:5" ht="33.75" customHeight="1">
      <c r="B1482" s="60">
        <v>1480</v>
      </c>
      <c r="C1482" s="61" t="s">
        <v>3776</v>
      </c>
      <c r="D1482" s="62" t="s">
        <v>3777</v>
      </c>
      <c r="E1482" s="63" t="s">
        <v>3778</v>
      </c>
    </row>
    <row r="1483" spans="2:5" ht="33.75" customHeight="1">
      <c r="B1483" s="60">
        <v>1481</v>
      </c>
      <c r="C1483" s="61" t="s">
        <v>3779</v>
      </c>
      <c r="D1483" s="62" t="s">
        <v>3780</v>
      </c>
      <c r="E1483" s="63" t="s">
        <v>3781</v>
      </c>
    </row>
    <row r="1484" spans="2:5" ht="33.75" customHeight="1">
      <c r="B1484" s="60">
        <v>1482</v>
      </c>
      <c r="C1484" s="61" t="s">
        <v>3782</v>
      </c>
      <c r="D1484" s="62" t="s">
        <v>3783</v>
      </c>
      <c r="E1484" s="63" t="s">
        <v>3784</v>
      </c>
    </row>
    <row r="1485" spans="2:5" ht="33.75" customHeight="1">
      <c r="B1485" s="60">
        <v>1483</v>
      </c>
      <c r="C1485" s="61" t="s">
        <v>3785</v>
      </c>
      <c r="D1485" s="62" t="s">
        <v>3786</v>
      </c>
      <c r="E1485" s="63"/>
    </row>
    <row r="1486" spans="2:5" ht="33.75" customHeight="1">
      <c r="B1486" s="60">
        <v>1484</v>
      </c>
      <c r="C1486" s="61" t="s">
        <v>3787</v>
      </c>
      <c r="D1486" s="62" t="s">
        <v>3788</v>
      </c>
      <c r="E1486" s="63"/>
    </row>
    <row r="1487" spans="2:5" ht="33.75" customHeight="1">
      <c r="B1487" s="60">
        <v>1485</v>
      </c>
      <c r="C1487" s="61" t="s">
        <v>3789</v>
      </c>
      <c r="D1487" s="62" t="s">
        <v>3790</v>
      </c>
      <c r="E1487" s="63" t="s">
        <v>3791</v>
      </c>
    </row>
    <row r="1488" spans="2:5" ht="33.75" customHeight="1">
      <c r="B1488" s="60">
        <v>1486</v>
      </c>
      <c r="C1488" s="61" t="s">
        <v>3792</v>
      </c>
      <c r="D1488" s="62" t="s">
        <v>3793</v>
      </c>
      <c r="E1488" s="63" t="s">
        <v>3794</v>
      </c>
    </row>
    <row r="1489" spans="2:5" ht="33.75" customHeight="1">
      <c r="B1489" s="60">
        <v>1487</v>
      </c>
      <c r="C1489" s="61" t="s">
        <v>3795</v>
      </c>
      <c r="D1489" s="62" t="s">
        <v>3796</v>
      </c>
      <c r="E1489" s="63"/>
    </row>
    <row r="1490" spans="2:5" ht="33.75" customHeight="1">
      <c r="B1490" s="60">
        <v>1488</v>
      </c>
      <c r="C1490" s="61" t="s">
        <v>3797</v>
      </c>
      <c r="D1490" s="62" t="s">
        <v>3798</v>
      </c>
      <c r="E1490" s="63"/>
    </row>
    <row r="1491" spans="2:5" ht="33.75" customHeight="1">
      <c r="B1491" s="60">
        <v>1489</v>
      </c>
      <c r="C1491" s="61" t="s">
        <v>3799</v>
      </c>
      <c r="D1491" s="62" t="s">
        <v>3800</v>
      </c>
      <c r="E1491" s="63"/>
    </row>
    <row r="1492" spans="2:5" ht="33.75" customHeight="1">
      <c r="B1492" s="60">
        <v>1490</v>
      </c>
      <c r="C1492" s="61" t="s">
        <v>3801</v>
      </c>
      <c r="D1492" s="62" t="s">
        <v>3802</v>
      </c>
      <c r="E1492" s="63"/>
    </row>
    <row r="1493" spans="2:5" ht="33.75" customHeight="1">
      <c r="B1493" s="60">
        <v>1491</v>
      </c>
      <c r="C1493" s="61" t="s">
        <v>3803</v>
      </c>
      <c r="D1493" s="62" t="s">
        <v>3804</v>
      </c>
      <c r="E1493" s="63" t="s">
        <v>3805</v>
      </c>
    </row>
    <row r="1494" spans="2:5" ht="33.75" customHeight="1">
      <c r="B1494" s="60">
        <v>1492</v>
      </c>
      <c r="C1494" s="61" t="s">
        <v>3806</v>
      </c>
      <c r="D1494" s="62" t="s">
        <v>3807</v>
      </c>
      <c r="E1494" s="63" t="s">
        <v>3808</v>
      </c>
    </row>
    <row r="1495" spans="2:5" ht="33.75" customHeight="1">
      <c r="B1495" s="60">
        <v>1493</v>
      </c>
      <c r="C1495" s="61" t="s">
        <v>3809</v>
      </c>
      <c r="D1495" s="62" t="s">
        <v>3810</v>
      </c>
      <c r="E1495" s="63" t="s">
        <v>3811</v>
      </c>
    </row>
    <row r="1496" spans="2:5" ht="33.75" customHeight="1">
      <c r="B1496" s="60">
        <v>1494</v>
      </c>
      <c r="C1496" s="61" t="s">
        <v>3812</v>
      </c>
      <c r="D1496" s="62" t="s">
        <v>3813</v>
      </c>
      <c r="E1496" s="63"/>
    </row>
    <row r="1497" spans="2:5" ht="33.75" customHeight="1">
      <c r="B1497" s="60">
        <v>1495</v>
      </c>
      <c r="C1497" s="61" t="s">
        <v>3814</v>
      </c>
      <c r="D1497" s="62" t="s">
        <v>3815</v>
      </c>
      <c r="E1497" s="63"/>
    </row>
    <row r="1498" spans="2:5" ht="33.75" customHeight="1">
      <c r="B1498" s="60">
        <v>1496</v>
      </c>
      <c r="C1498" s="61" t="s">
        <v>3816</v>
      </c>
      <c r="D1498" s="62" t="s">
        <v>3817</v>
      </c>
      <c r="E1498" s="63" t="s">
        <v>3818</v>
      </c>
    </row>
    <row r="1499" spans="2:5" ht="33.75" customHeight="1">
      <c r="B1499" s="60">
        <v>1497</v>
      </c>
      <c r="C1499" s="61" t="s">
        <v>3819</v>
      </c>
      <c r="D1499" s="62" t="s">
        <v>3820</v>
      </c>
      <c r="E1499" s="63"/>
    </row>
    <row r="1500" spans="2:5" ht="33.75" customHeight="1">
      <c r="B1500" s="60">
        <v>1498</v>
      </c>
      <c r="C1500" s="61" t="s">
        <v>3821</v>
      </c>
      <c r="D1500" s="62" t="s">
        <v>3822</v>
      </c>
      <c r="E1500" s="63"/>
    </row>
    <row r="1501" spans="2:5" ht="33.75" customHeight="1">
      <c r="B1501" s="60">
        <v>1499</v>
      </c>
      <c r="C1501" s="61" t="s">
        <v>3823</v>
      </c>
      <c r="D1501" s="62" t="s">
        <v>3824</v>
      </c>
      <c r="E1501" s="63" t="s">
        <v>3825</v>
      </c>
    </row>
    <row r="1502" spans="2:5" ht="33.75" customHeight="1">
      <c r="B1502" s="60">
        <v>1500</v>
      </c>
      <c r="C1502" s="61" t="s">
        <v>3826</v>
      </c>
      <c r="D1502" s="62" t="s">
        <v>3827</v>
      </c>
      <c r="E1502" s="63" t="s">
        <v>3828</v>
      </c>
    </row>
    <row r="1503" spans="2:5" ht="33.75" customHeight="1">
      <c r="B1503" s="60">
        <v>1501</v>
      </c>
      <c r="C1503" s="61" t="s">
        <v>3829</v>
      </c>
      <c r="D1503" s="62" t="s">
        <v>3830</v>
      </c>
      <c r="E1503" s="63" t="s">
        <v>3831</v>
      </c>
    </row>
    <row r="1504" spans="2:5" ht="33.75" customHeight="1">
      <c r="B1504" s="60">
        <v>1502</v>
      </c>
      <c r="C1504" s="61" t="s">
        <v>3832</v>
      </c>
      <c r="D1504" s="62" t="s">
        <v>3833</v>
      </c>
      <c r="E1504" s="63" t="s">
        <v>3834</v>
      </c>
    </row>
    <row r="1505" spans="2:5" ht="33.75" customHeight="1">
      <c r="B1505" s="60">
        <v>1503</v>
      </c>
      <c r="C1505" s="61" t="s">
        <v>3835</v>
      </c>
      <c r="D1505" s="62" t="s">
        <v>3836</v>
      </c>
      <c r="E1505" s="63" t="s">
        <v>3837</v>
      </c>
    </row>
    <row r="1506" spans="2:5" ht="33.75" customHeight="1">
      <c r="B1506" s="60">
        <v>1504</v>
      </c>
      <c r="C1506" s="61" t="s">
        <v>3838</v>
      </c>
      <c r="D1506" s="62" t="s">
        <v>3839</v>
      </c>
      <c r="E1506" s="63" t="s">
        <v>3840</v>
      </c>
    </row>
    <row r="1507" spans="2:5" ht="33.75" customHeight="1">
      <c r="B1507" s="60">
        <v>1505</v>
      </c>
      <c r="C1507" s="61" t="s">
        <v>3841</v>
      </c>
      <c r="D1507" s="62" t="s">
        <v>3842</v>
      </c>
      <c r="E1507" s="63" t="s">
        <v>3843</v>
      </c>
    </row>
    <row r="1508" spans="2:5" ht="33.75" customHeight="1">
      <c r="B1508" s="60">
        <v>1506</v>
      </c>
      <c r="C1508" s="61" t="s">
        <v>3844</v>
      </c>
      <c r="D1508" s="62" t="s">
        <v>3845</v>
      </c>
      <c r="E1508" s="63" t="s">
        <v>3846</v>
      </c>
    </row>
    <row r="1509" spans="2:5" ht="33.75" customHeight="1">
      <c r="B1509" s="60">
        <v>1507</v>
      </c>
      <c r="C1509" s="61" t="s">
        <v>3847</v>
      </c>
      <c r="D1509" s="62" t="s">
        <v>3848</v>
      </c>
      <c r="E1509" s="63" t="s">
        <v>3849</v>
      </c>
    </row>
    <row r="1510" spans="2:5" ht="33.75" customHeight="1">
      <c r="B1510" s="60">
        <v>1508</v>
      </c>
      <c r="C1510" s="61" t="s">
        <v>3850</v>
      </c>
      <c r="D1510" s="62" t="s">
        <v>3851</v>
      </c>
      <c r="E1510" s="63" t="s">
        <v>3852</v>
      </c>
    </row>
    <row r="1511" spans="2:5" ht="33.75" customHeight="1">
      <c r="B1511" s="60">
        <v>1509</v>
      </c>
      <c r="C1511" s="61" t="s">
        <v>3853</v>
      </c>
      <c r="D1511" s="62" t="s">
        <v>3854</v>
      </c>
      <c r="E1511" s="63" t="s">
        <v>3855</v>
      </c>
    </row>
    <row r="1512" spans="2:5" ht="33.75" customHeight="1">
      <c r="B1512" s="60">
        <v>1510</v>
      </c>
      <c r="C1512" s="61" t="s">
        <v>3856</v>
      </c>
      <c r="D1512" s="62" t="s">
        <v>3857</v>
      </c>
      <c r="E1512" s="63" t="s">
        <v>3858</v>
      </c>
    </row>
    <row r="1513" spans="2:5" ht="33.75" customHeight="1">
      <c r="B1513" s="60">
        <v>1511</v>
      </c>
      <c r="C1513" s="61" t="s">
        <v>3859</v>
      </c>
      <c r="D1513" s="62" t="s">
        <v>3860</v>
      </c>
      <c r="E1513" s="64" t="s">
        <v>3861</v>
      </c>
    </row>
    <row r="1514" spans="2:5" ht="33.75" customHeight="1">
      <c r="B1514" s="60">
        <v>1512</v>
      </c>
      <c r="C1514" s="61" t="s">
        <v>3862</v>
      </c>
      <c r="D1514" s="62" t="s">
        <v>3863</v>
      </c>
      <c r="E1514" s="63" t="s">
        <v>3864</v>
      </c>
    </row>
    <row r="1515" spans="2:5" ht="33.75" customHeight="1">
      <c r="B1515" s="60">
        <v>1513</v>
      </c>
      <c r="C1515" s="61" t="s">
        <v>3865</v>
      </c>
      <c r="D1515" s="62" t="s">
        <v>3866</v>
      </c>
      <c r="E1515" s="63" t="s">
        <v>3867</v>
      </c>
    </row>
    <row r="1516" spans="2:5" ht="33.75" customHeight="1">
      <c r="B1516" s="60">
        <v>1514</v>
      </c>
      <c r="C1516" s="61" t="s">
        <v>3868</v>
      </c>
      <c r="D1516" s="62" t="s">
        <v>3869</v>
      </c>
      <c r="E1516" s="63" t="s">
        <v>3870</v>
      </c>
    </row>
    <row r="1517" spans="2:5" ht="33.75" customHeight="1">
      <c r="B1517" s="60">
        <v>1515</v>
      </c>
      <c r="C1517" s="61" t="s">
        <v>3871</v>
      </c>
      <c r="D1517" s="62" t="s">
        <v>3872</v>
      </c>
      <c r="E1517" s="63" t="s">
        <v>3873</v>
      </c>
    </row>
    <row r="1518" spans="2:5" ht="33.75" customHeight="1">
      <c r="B1518" s="60">
        <v>1516</v>
      </c>
      <c r="C1518" s="61" t="s">
        <v>3874</v>
      </c>
      <c r="D1518" s="62" t="s">
        <v>3875</v>
      </c>
      <c r="E1518" s="63" t="s">
        <v>3876</v>
      </c>
    </row>
    <row r="1519" spans="2:5" ht="33.75" customHeight="1">
      <c r="B1519" s="60">
        <v>1517</v>
      </c>
      <c r="C1519" s="61" t="s">
        <v>3877</v>
      </c>
      <c r="D1519" s="62" t="s">
        <v>3878</v>
      </c>
      <c r="E1519" s="63" t="s">
        <v>3879</v>
      </c>
    </row>
    <row r="1520" spans="2:5" ht="33.75" customHeight="1">
      <c r="B1520" s="60">
        <v>1518</v>
      </c>
      <c r="C1520" s="61" t="s">
        <v>3880</v>
      </c>
      <c r="D1520" s="62" t="s">
        <v>3881</v>
      </c>
      <c r="E1520" s="63" t="s">
        <v>3882</v>
      </c>
    </row>
    <row r="1521" spans="2:5" ht="33.75" customHeight="1">
      <c r="B1521" s="60">
        <v>1519</v>
      </c>
      <c r="C1521" s="61" t="s">
        <v>3883</v>
      </c>
      <c r="D1521" s="62" t="s">
        <v>3884</v>
      </c>
      <c r="E1521" s="63" t="s">
        <v>3885</v>
      </c>
    </row>
    <row r="1522" spans="2:5" ht="33.75" customHeight="1">
      <c r="B1522" s="60">
        <v>1520</v>
      </c>
      <c r="C1522" s="61" t="s">
        <v>3886</v>
      </c>
      <c r="D1522" s="62" t="s">
        <v>3887</v>
      </c>
      <c r="E1522" s="63" t="s">
        <v>3888</v>
      </c>
    </row>
    <row r="1523" spans="2:5" ht="33.75" customHeight="1">
      <c r="B1523" s="60">
        <v>1521</v>
      </c>
      <c r="C1523" s="61" t="s">
        <v>3889</v>
      </c>
      <c r="D1523" s="62" t="s">
        <v>3890</v>
      </c>
      <c r="E1523" s="63" t="s">
        <v>3891</v>
      </c>
    </row>
    <row r="1524" spans="2:5" ht="33.75" customHeight="1">
      <c r="B1524" s="60">
        <v>1522</v>
      </c>
      <c r="C1524" s="61" t="s">
        <v>3892</v>
      </c>
      <c r="D1524" s="62" t="s">
        <v>3893</v>
      </c>
      <c r="E1524" s="63" t="s">
        <v>3894</v>
      </c>
    </row>
    <row r="1525" spans="2:5" ht="33.75" customHeight="1">
      <c r="B1525" s="60">
        <v>1523</v>
      </c>
      <c r="C1525" s="61" t="s">
        <v>3895</v>
      </c>
      <c r="D1525" s="62" t="s">
        <v>3896</v>
      </c>
      <c r="E1525" s="63" t="s">
        <v>3897</v>
      </c>
    </row>
    <row r="1526" spans="2:5" ht="33.75" customHeight="1">
      <c r="B1526" s="60">
        <v>1524</v>
      </c>
      <c r="C1526" s="61" t="s">
        <v>3898</v>
      </c>
      <c r="D1526" s="62" t="s">
        <v>3899</v>
      </c>
      <c r="E1526" s="63" t="s">
        <v>3900</v>
      </c>
    </row>
    <row r="1527" spans="2:5" ht="33.75" customHeight="1">
      <c r="B1527" s="60">
        <v>1525</v>
      </c>
      <c r="C1527" s="61" t="s">
        <v>3901</v>
      </c>
      <c r="D1527" s="62" t="s">
        <v>3902</v>
      </c>
      <c r="E1527" s="63" t="s">
        <v>3903</v>
      </c>
    </row>
    <row r="1528" spans="2:5" ht="33.75" customHeight="1">
      <c r="B1528" s="60">
        <v>1526</v>
      </c>
      <c r="C1528" s="61" t="s">
        <v>3904</v>
      </c>
      <c r="D1528" s="62" t="s">
        <v>3905</v>
      </c>
      <c r="E1528" s="63" t="s">
        <v>3906</v>
      </c>
    </row>
    <row r="1529" spans="2:5" ht="33.75" customHeight="1">
      <c r="B1529" s="60">
        <v>1527</v>
      </c>
      <c r="C1529" s="61" t="s">
        <v>3907</v>
      </c>
      <c r="D1529" s="62" t="s">
        <v>3908</v>
      </c>
      <c r="E1529" s="63" t="s">
        <v>3909</v>
      </c>
    </row>
    <row r="1530" spans="2:5" ht="33.75" customHeight="1">
      <c r="B1530" s="60">
        <v>1528</v>
      </c>
      <c r="C1530" s="61" t="s">
        <v>3910</v>
      </c>
      <c r="D1530" s="62" t="s">
        <v>3911</v>
      </c>
      <c r="E1530" s="63" t="s">
        <v>3912</v>
      </c>
    </row>
    <row r="1531" spans="2:5" ht="33.75" customHeight="1">
      <c r="B1531" s="60">
        <v>1529</v>
      </c>
      <c r="C1531" s="61" t="s">
        <v>3913</v>
      </c>
      <c r="D1531" s="62" t="s">
        <v>3914</v>
      </c>
      <c r="E1531" s="63" t="s">
        <v>3915</v>
      </c>
    </row>
    <row r="1532" spans="2:5" ht="33.75" customHeight="1">
      <c r="B1532" s="60">
        <v>1530</v>
      </c>
      <c r="C1532" s="61" t="s">
        <v>3916</v>
      </c>
      <c r="D1532" s="62" t="s">
        <v>3917</v>
      </c>
      <c r="E1532" s="64" t="s">
        <v>3918</v>
      </c>
    </row>
    <row r="1533" spans="2:5" ht="33.75" customHeight="1">
      <c r="B1533" s="60">
        <v>1531</v>
      </c>
      <c r="C1533" s="61" t="s">
        <v>3919</v>
      </c>
      <c r="D1533" s="62" t="s">
        <v>3920</v>
      </c>
      <c r="E1533" s="63" t="s">
        <v>3921</v>
      </c>
    </row>
    <row r="1534" spans="2:5" ht="33.75" customHeight="1">
      <c r="B1534" s="60">
        <v>1532</v>
      </c>
      <c r="C1534" s="61" t="s">
        <v>3922</v>
      </c>
      <c r="D1534" s="62" t="s">
        <v>3923</v>
      </c>
      <c r="E1534" s="63" t="s">
        <v>3924</v>
      </c>
    </row>
    <row r="1535" spans="2:5" ht="33.75" customHeight="1">
      <c r="B1535" s="60">
        <v>1533</v>
      </c>
      <c r="C1535" s="61" t="s">
        <v>3925</v>
      </c>
      <c r="D1535" s="62" t="s">
        <v>3926</v>
      </c>
      <c r="E1535" s="63" t="s">
        <v>3927</v>
      </c>
    </row>
    <row r="1536" spans="2:5" ht="33.75" customHeight="1">
      <c r="B1536" s="60">
        <v>1534</v>
      </c>
      <c r="C1536" s="61" t="s">
        <v>3928</v>
      </c>
      <c r="D1536" s="62" t="s">
        <v>3929</v>
      </c>
      <c r="E1536" s="63" t="s">
        <v>3930</v>
      </c>
    </row>
    <row r="1537" spans="2:5" ht="33.75" customHeight="1">
      <c r="B1537" s="60">
        <v>1535</v>
      </c>
      <c r="C1537" s="61" t="s">
        <v>3931</v>
      </c>
      <c r="D1537" s="62" t="s">
        <v>3932</v>
      </c>
      <c r="E1537" s="63" t="s">
        <v>3933</v>
      </c>
    </row>
    <row r="1538" spans="2:5" ht="33.75" customHeight="1">
      <c r="B1538" s="60">
        <v>1536</v>
      </c>
      <c r="C1538" s="61" t="s">
        <v>3934</v>
      </c>
      <c r="D1538" s="62" t="s">
        <v>3935</v>
      </c>
      <c r="E1538" s="63" t="s">
        <v>3936</v>
      </c>
    </row>
    <row r="1539" spans="2:5" ht="33.75" customHeight="1">
      <c r="B1539" s="60">
        <v>1537</v>
      </c>
      <c r="C1539" s="61" t="s">
        <v>3937</v>
      </c>
      <c r="D1539" s="62" t="s">
        <v>3938</v>
      </c>
      <c r="E1539" s="63" t="s">
        <v>3939</v>
      </c>
    </row>
    <row r="1540" spans="2:5" ht="33.75" customHeight="1">
      <c r="B1540" s="60">
        <v>1538</v>
      </c>
      <c r="C1540" s="61" t="s">
        <v>3940</v>
      </c>
      <c r="D1540" s="62" t="s">
        <v>3941</v>
      </c>
      <c r="E1540" s="63" t="s">
        <v>3942</v>
      </c>
    </row>
    <row r="1541" spans="2:5" ht="33.75" customHeight="1">
      <c r="B1541" s="60">
        <v>1539</v>
      </c>
      <c r="C1541" s="61" t="s">
        <v>3943</v>
      </c>
      <c r="D1541" s="62" t="s">
        <v>3944</v>
      </c>
      <c r="E1541" s="63" t="s">
        <v>3945</v>
      </c>
    </row>
    <row r="1542" spans="2:5" ht="33.75" customHeight="1">
      <c r="B1542" s="60">
        <v>1540</v>
      </c>
      <c r="C1542" s="61" t="s">
        <v>3946</v>
      </c>
      <c r="D1542" s="62" t="s">
        <v>3947</v>
      </c>
      <c r="E1542" s="63" t="s">
        <v>3948</v>
      </c>
    </row>
    <row r="1543" spans="2:5" ht="33.75" customHeight="1">
      <c r="B1543" s="60">
        <v>1541</v>
      </c>
      <c r="C1543" s="61" t="s">
        <v>3949</v>
      </c>
      <c r="D1543" s="62" t="s">
        <v>3950</v>
      </c>
      <c r="E1543" s="63" t="s">
        <v>3951</v>
      </c>
    </row>
    <row r="1544" spans="2:5" ht="33.75" customHeight="1">
      <c r="B1544" s="60">
        <v>1542</v>
      </c>
      <c r="C1544" s="61" t="s">
        <v>3952</v>
      </c>
      <c r="D1544" s="62" t="s">
        <v>3953</v>
      </c>
      <c r="E1544" s="63" t="s">
        <v>3954</v>
      </c>
    </row>
    <row r="1545" spans="2:5" ht="33.75" customHeight="1">
      <c r="B1545" s="60">
        <v>1543</v>
      </c>
      <c r="C1545" s="61" t="s">
        <v>3955</v>
      </c>
      <c r="D1545" s="62" t="s">
        <v>3956</v>
      </c>
      <c r="E1545" s="63" t="s">
        <v>3957</v>
      </c>
    </row>
    <row r="1546" spans="2:5" ht="33.75" customHeight="1">
      <c r="B1546" s="60">
        <v>1544</v>
      </c>
      <c r="C1546" s="61" t="s">
        <v>3958</v>
      </c>
      <c r="D1546" s="62" t="s">
        <v>3959</v>
      </c>
      <c r="E1546" s="63" t="s">
        <v>3960</v>
      </c>
    </row>
    <row r="1547" spans="2:5" ht="33.75" customHeight="1">
      <c r="B1547" s="60">
        <v>1545</v>
      </c>
      <c r="C1547" s="61" t="s">
        <v>3961</v>
      </c>
      <c r="D1547" s="62" t="s">
        <v>3962</v>
      </c>
      <c r="E1547" s="63" t="s">
        <v>3963</v>
      </c>
    </row>
    <row r="1548" spans="2:5" ht="33.75" customHeight="1">
      <c r="B1548" s="60">
        <v>1546</v>
      </c>
      <c r="C1548" s="61" t="s">
        <v>3964</v>
      </c>
      <c r="D1548" s="62" t="s">
        <v>3965</v>
      </c>
      <c r="E1548" s="63" t="s">
        <v>3966</v>
      </c>
    </row>
    <row r="1549" spans="2:5" ht="33.75" customHeight="1">
      <c r="B1549" s="60">
        <v>1547</v>
      </c>
      <c r="C1549" s="61" t="s">
        <v>3967</v>
      </c>
      <c r="D1549" s="62" t="s">
        <v>3968</v>
      </c>
      <c r="E1549" s="63" t="s">
        <v>3969</v>
      </c>
    </row>
    <row r="1550" spans="2:5" ht="33.75" customHeight="1">
      <c r="B1550" s="60">
        <v>1548</v>
      </c>
      <c r="C1550" s="61" t="s">
        <v>3970</v>
      </c>
      <c r="D1550" s="62" t="s">
        <v>3971</v>
      </c>
      <c r="E1550" s="63" t="s">
        <v>3972</v>
      </c>
    </row>
    <row r="1551" spans="2:5" ht="33.75" customHeight="1">
      <c r="B1551" s="60">
        <v>1549</v>
      </c>
      <c r="C1551" s="61" t="s">
        <v>3973</v>
      </c>
      <c r="D1551" s="62" t="s">
        <v>3974</v>
      </c>
      <c r="E1551" s="63" t="s">
        <v>3975</v>
      </c>
    </row>
    <row r="1552" spans="2:5" ht="33.75" customHeight="1">
      <c r="B1552" s="60">
        <v>1550</v>
      </c>
      <c r="C1552" s="61" t="s">
        <v>3976</v>
      </c>
      <c r="D1552" s="62" t="s">
        <v>3977</v>
      </c>
      <c r="E1552" s="63" t="s">
        <v>3978</v>
      </c>
    </row>
    <row r="1553" spans="2:5" ht="33.75" customHeight="1">
      <c r="B1553" s="60">
        <v>1551</v>
      </c>
      <c r="C1553" s="61" t="s">
        <v>3979</v>
      </c>
      <c r="D1553" s="62" t="s">
        <v>3980</v>
      </c>
      <c r="E1553" s="63" t="s">
        <v>3981</v>
      </c>
    </row>
    <row r="1554" spans="2:5" ht="33.75" customHeight="1">
      <c r="B1554" s="60">
        <v>1552</v>
      </c>
      <c r="C1554" s="61" t="s">
        <v>3982</v>
      </c>
      <c r="D1554" s="62" t="s">
        <v>3983</v>
      </c>
      <c r="E1554" s="63" t="s">
        <v>3984</v>
      </c>
    </row>
    <row r="1555" spans="2:5" ht="33.75" customHeight="1">
      <c r="B1555" s="60">
        <v>1553</v>
      </c>
      <c r="C1555" s="61" t="s">
        <v>3985</v>
      </c>
      <c r="D1555" s="62" t="s">
        <v>3986</v>
      </c>
      <c r="E1555" s="63" t="s">
        <v>3987</v>
      </c>
    </row>
    <row r="1556" spans="2:5" ht="33.75" customHeight="1">
      <c r="B1556" s="60">
        <v>1554</v>
      </c>
      <c r="C1556" s="61" t="s">
        <v>3988</v>
      </c>
      <c r="D1556" s="62" t="s">
        <v>3989</v>
      </c>
      <c r="E1556" s="63" t="s">
        <v>3990</v>
      </c>
    </row>
    <row r="1557" spans="2:5" ht="33.75" customHeight="1">
      <c r="B1557" s="60">
        <v>1555</v>
      </c>
      <c r="C1557" s="61" t="s">
        <v>3991</v>
      </c>
      <c r="D1557" s="62" t="s">
        <v>3992</v>
      </c>
      <c r="E1557" s="63" t="s">
        <v>3993</v>
      </c>
    </row>
    <row r="1558" spans="2:5" ht="33.75" customHeight="1">
      <c r="B1558" s="60">
        <v>1556</v>
      </c>
      <c r="C1558" s="61" t="s">
        <v>3994</v>
      </c>
      <c r="D1558" s="62" t="s">
        <v>3995</v>
      </c>
      <c r="E1558" s="63" t="s">
        <v>3996</v>
      </c>
    </row>
    <row r="1559" spans="2:5" ht="33.75" customHeight="1">
      <c r="B1559" s="60">
        <v>1557</v>
      </c>
      <c r="C1559" s="61" t="s">
        <v>3997</v>
      </c>
      <c r="D1559" s="62" t="s">
        <v>3998</v>
      </c>
      <c r="E1559" s="63" t="s">
        <v>3999</v>
      </c>
    </row>
    <row r="1560" spans="2:5" ht="33.75" customHeight="1">
      <c r="B1560" s="60">
        <v>1558</v>
      </c>
      <c r="C1560" s="61" t="s">
        <v>4000</v>
      </c>
      <c r="D1560" s="62" t="s">
        <v>4001</v>
      </c>
      <c r="E1560" s="63" t="s">
        <v>4002</v>
      </c>
    </row>
    <row r="1561" spans="2:5" ht="33.75" customHeight="1">
      <c r="B1561" s="60">
        <v>1559</v>
      </c>
      <c r="C1561" s="61" t="s">
        <v>4003</v>
      </c>
      <c r="D1561" s="62" t="s">
        <v>4004</v>
      </c>
      <c r="E1561" s="63" t="s">
        <v>4005</v>
      </c>
    </row>
    <row r="1562" spans="2:5" ht="33.75" customHeight="1">
      <c r="B1562" s="60">
        <v>1560</v>
      </c>
      <c r="C1562" s="61" t="s">
        <v>4006</v>
      </c>
      <c r="D1562" s="62" t="s">
        <v>4007</v>
      </c>
      <c r="E1562" s="63" t="s">
        <v>4008</v>
      </c>
    </row>
    <row r="1563" spans="2:5" ht="33.75" customHeight="1">
      <c r="B1563" s="60">
        <v>1561</v>
      </c>
      <c r="C1563" s="61" t="s">
        <v>4009</v>
      </c>
      <c r="D1563" s="62" t="s">
        <v>4010</v>
      </c>
      <c r="E1563" s="63" t="s">
        <v>4011</v>
      </c>
    </row>
    <row r="1564" spans="2:5" ht="33.75" customHeight="1">
      <c r="B1564" s="60">
        <v>1562</v>
      </c>
      <c r="C1564" s="61" t="s">
        <v>4012</v>
      </c>
      <c r="D1564" s="62" t="s">
        <v>4013</v>
      </c>
      <c r="E1564" s="63" t="s">
        <v>4014</v>
      </c>
    </row>
    <row r="1565" spans="2:5" ht="33.75" customHeight="1">
      <c r="B1565" s="60">
        <v>1563</v>
      </c>
      <c r="C1565" s="61" t="s">
        <v>4015</v>
      </c>
      <c r="D1565" s="62" t="s">
        <v>4016</v>
      </c>
      <c r="E1565" s="63" t="s">
        <v>4017</v>
      </c>
    </row>
    <row r="1566" spans="2:5" ht="33.75" customHeight="1">
      <c r="B1566" s="60">
        <v>1564</v>
      </c>
      <c r="C1566" s="61" t="s">
        <v>4018</v>
      </c>
      <c r="D1566" s="62" t="s">
        <v>4019</v>
      </c>
      <c r="E1566" s="63" t="s">
        <v>4020</v>
      </c>
    </row>
    <row r="1567" spans="2:5" ht="33.75" customHeight="1">
      <c r="B1567" s="60">
        <v>1565</v>
      </c>
      <c r="C1567" s="61" t="s">
        <v>4021</v>
      </c>
      <c r="D1567" s="62" t="s">
        <v>4022</v>
      </c>
      <c r="E1567" s="63" t="s">
        <v>4023</v>
      </c>
    </row>
    <row r="1568" spans="2:5" ht="33.75" customHeight="1">
      <c r="B1568" s="60">
        <v>1566</v>
      </c>
      <c r="C1568" s="61" t="s">
        <v>4024</v>
      </c>
      <c r="D1568" s="62" t="s">
        <v>4025</v>
      </c>
      <c r="E1568" s="63" t="s">
        <v>4026</v>
      </c>
    </row>
    <row r="1569" spans="2:5" ht="33.75" customHeight="1">
      <c r="B1569" s="60">
        <v>1567</v>
      </c>
      <c r="C1569" s="61" t="s">
        <v>4027</v>
      </c>
      <c r="D1569" s="62" t="s">
        <v>4028</v>
      </c>
      <c r="E1569" s="63" t="s">
        <v>4029</v>
      </c>
    </row>
    <row r="1570" spans="2:5" ht="33.75" customHeight="1">
      <c r="B1570" s="60">
        <v>1568</v>
      </c>
      <c r="C1570" s="61" t="s">
        <v>4030</v>
      </c>
      <c r="D1570" s="62" t="s">
        <v>4031</v>
      </c>
      <c r="E1570" s="63" t="s">
        <v>4032</v>
      </c>
    </row>
    <row r="1571" spans="2:5" ht="33.75" customHeight="1">
      <c r="B1571" s="60">
        <v>1569</v>
      </c>
      <c r="C1571" s="61" t="s">
        <v>4033</v>
      </c>
      <c r="D1571" s="62" t="s">
        <v>4034</v>
      </c>
      <c r="E1571" s="63" t="s">
        <v>4035</v>
      </c>
    </row>
    <row r="1572" spans="2:5" ht="33.75" customHeight="1">
      <c r="B1572" s="60">
        <v>1570</v>
      </c>
      <c r="C1572" s="61" t="s">
        <v>4036</v>
      </c>
      <c r="D1572" s="62" t="s">
        <v>4037</v>
      </c>
      <c r="E1572" s="63" t="s">
        <v>4038</v>
      </c>
    </row>
    <row r="1573" spans="2:5" ht="33.75" customHeight="1">
      <c r="B1573" s="60">
        <v>1571</v>
      </c>
      <c r="C1573" s="61" t="s">
        <v>4039</v>
      </c>
      <c r="D1573" s="62" t="s">
        <v>4040</v>
      </c>
      <c r="E1573" s="63" t="s">
        <v>4041</v>
      </c>
    </row>
    <row r="1574" spans="2:5" ht="33.75" customHeight="1">
      <c r="B1574" s="60">
        <v>1572</v>
      </c>
      <c r="C1574" s="61" t="s">
        <v>4042</v>
      </c>
      <c r="D1574" s="62" t="s">
        <v>4043</v>
      </c>
      <c r="E1574" s="63"/>
    </row>
    <row r="1575" spans="2:5" ht="33.75" customHeight="1">
      <c r="B1575" s="60">
        <v>1573</v>
      </c>
      <c r="C1575" s="61" t="s">
        <v>4044</v>
      </c>
      <c r="D1575" s="62" t="s">
        <v>4045</v>
      </c>
      <c r="E1575" s="63" t="s">
        <v>4046</v>
      </c>
    </row>
    <row r="1576" spans="2:5" ht="33.75" customHeight="1">
      <c r="B1576" s="60">
        <v>1574</v>
      </c>
      <c r="C1576" s="61" t="s">
        <v>4047</v>
      </c>
      <c r="D1576" s="62" t="s">
        <v>4048</v>
      </c>
      <c r="E1576" s="63"/>
    </row>
    <row r="1577" spans="2:5" ht="33.75" customHeight="1">
      <c r="B1577" s="60">
        <v>1575</v>
      </c>
      <c r="C1577" s="61" t="s">
        <v>4049</v>
      </c>
      <c r="D1577" s="62" t="s">
        <v>4050</v>
      </c>
      <c r="E1577" s="63" t="s">
        <v>4051</v>
      </c>
    </row>
    <row r="1578" spans="2:5" ht="33.75" customHeight="1">
      <c r="B1578" s="60">
        <v>1576</v>
      </c>
      <c r="C1578" s="61" t="s">
        <v>4052</v>
      </c>
      <c r="D1578" s="62" t="s">
        <v>4053</v>
      </c>
      <c r="E1578" s="63"/>
    </row>
    <row r="1579" spans="2:5" ht="33.75" customHeight="1">
      <c r="B1579" s="60">
        <v>1577</v>
      </c>
      <c r="C1579" s="61" t="s">
        <v>4054</v>
      </c>
      <c r="D1579" s="62" t="s">
        <v>4055</v>
      </c>
      <c r="E1579" s="63" t="s">
        <v>4056</v>
      </c>
    </row>
    <row r="1580" spans="2:5" ht="33.75" customHeight="1">
      <c r="B1580" s="60">
        <v>1578</v>
      </c>
      <c r="C1580" s="61" t="s">
        <v>4057</v>
      </c>
      <c r="D1580" s="62" t="s">
        <v>4058</v>
      </c>
      <c r="E1580" s="63"/>
    </row>
    <row r="1581" spans="2:5" ht="33.75" customHeight="1">
      <c r="B1581" s="60">
        <v>1579</v>
      </c>
      <c r="C1581" s="61" t="s">
        <v>4059</v>
      </c>
      <c r="D1581" s="62" t="s">
        <v>4060</v>
      </c>
      <c r="E1581" s="63" t="s">
        <v>4061</v>
      </c>
    </row>
    <row r="1582" spans="2:5" ht="33.75" customHeight="1">
      <c r="B1582" s="60">
        <v>1580</v>
      </c>
      <c r="C1582" s="61" t="s">
        <v>4062</v>
      </c>
      <c r="D1582" s="62" t="s">
        <v>4063</v>
      </c>
      <c r="E1582" s="63" t="s">
        <v>4064</v>
      </c>
    </row>
    <row r="1583" spans="2:5" ht="33.75" customHeight="1">
      <c r="B1583" s="60">
        <v>1581</v>
      </c>
      <c r="C1583" s="61" t="s">
        <v>4065</v>
      </c>
      <c r="D1583" s="62" t="s">
        <v>4066</v>
      </c>
      <c r="E1583" s="63" t="s">
        <v>4067</v>
      </c>
    </row>
    <row r="1584" spans="2:5" ht="33.75" customHeight="1">
      <c r="B1584" s="60">
        <v>1582</v>
      </c>
      <c r="C1584" s="61" t="s">
        <v>4068</v>
      </c>
      <c r="D1584" s="62" t="s">
        <v>4069</v>
      </c>
      <c r="E1584" s="63" t="s">
        <v>4070</v>
      </c>
    </row>
    <row r="1585" spans="2:5" ht="33.75" customHeight="1">
      <c r="B1585" s="60">
        <v>1583</v>
      </c>
      <c r="C1585" s="61" t="s">
        <v>4071</v>
      </c>
      <c r="D1585" s="62" t="s">
        <v>4072</v>
      </c>
      <c r="E1585" s="63"/>
    </row>
    <row r="1586" spans="2:5" ht="33.75" customHeight="1">
      <c r="B1586" s="60">
        <v>1584</v>
      </c>
      <c r="C1586" s="61" t="s">
        <v>4073</v>
      </c>
      <c r="D1586" s="62" t="s">
        <v>4074</v>
      </c>
      <c r="E1586" s="63" t="s">
        <v>4075</v>
      </c>
    </row>
    <row r="1587" spans="2:5" ht="33.75" customHeight="1">
      <c r="B1587" s="60">
        <v>1585</v>
      </c>
      <c r="C1587" s="61" t="s">
        <v>4076</v>
      </c>
      <c r="D1587" s="62" t="s">
        <v>4077</v>
      </c>
      <c r="E1587" s="63"/>
    </row>
    <row r="1588" spans="2:5" ht="33.75" customHeight="1">
      <c r="B1588" s="60">
        <v>1586</v>
      </c>
      <c r="C1588" s="61" t="s">
        <v>4078</v>
      </c>
      <c r="D1588" s="62" t="s">
        <v>4079</v>
      </c>
      <c r="E1588" s="63"/>
    </row>
    <row r="1589" spans="2:5" ht="33.75" customHeight="1">
      <c r="B1589" s="60">
        <v>1587</v>
      </c>
      <c r="C1589" s="61" t="s">
        <v>4080</v>
      </c>
      <c r="D1589" s="62" t="s">
        <v>4081</v>
      </c>
      <c r="E1589" s="63" t="s">
        <v>4082</v>
      </c>
    </row>
    <row r="1590" spans="2:5" ht="33.75" customHeight="1">
      <c r="B1590" s="60">
        <v>1588</v>
      </c>
      <c r="C1590" s="61" t="s">
        <v>4083</v>
      </c>
      <c r="D1590" s="62" t="s">
        <v>4084</v>
      </c>
      <c r="E1590" s="63"/>
    </row>
    <row r="1591" spans="2:5" ht="33.75" customHeight="1">
      <c r="B1591" s="60">
        <v>1589</v>
      </c>
      <c r="C1591" s="61" t="s">
        <v>4085</v>
      </c>
      <c r="D1591" s="62" t="s">
        <v>4086</v>
      </c>
      <c r="E1591" s="63" t="s">
        <v>4087</v>
      </c>
    </row>
    <row r="1592" spans="2:5" ht="33.75" customHeight="1">
      <c r="B1592" s="60">
        <v>1590</v>
      </c>
      <c r="C1592" s="61" t="s">
        <v>4088</v>
      </c>
      <c r="D1592" s="62" t="s">
        <v>4089</v>
      </c>
      <c r="E1592" s="63" t="s">
        <v>4090</v>
      </c>
    </row>
    <row r="1593" spans="2:5" ht="33.75" customHeight="1">
      <c r="B1593" s="60">
        <v>1591</v>
      </c>
      <c r="C1593" s="61" t="s">
        <v>4091</v>
      </c>
      <c r="D1593" s="62" t="s">
        <v>4092</v>
      </c>
      <c r="E1593" s="63" t="s">
        <v>4093</v>
      </c>
    </row>
    <row r="1594" spans="2:5" ht="33.75" customHeight="1">
      <c r="B1594" s="60">
        <v>1592</v>
      </c>
      <c r="C1594" s="61" t="s">
        <v>4094</v>
      </c>
      <c r="D1594" s="62" t="s">
        <v>4095</v>
      </c>
      <c r="E1594" s="63"/>
    </row>
    <row r="1595" spans="2:5" ht="33.75" customHeight="1">
      <c r="B1595" s="60">
        <v>1593</v>
      </c>
      <c r="C1595" s="61" t="s">
        <v>4096</v>
      </c>
      <c r="D1595" s="62" t="s">
        <v>4097</v>
      </c>
      <c r="E1595" s="63" t="s">
        <v>4098</v>
      </c>
    </row>
    <row r="1596" spans="2:5" ht="33.75" customHeight="1">
      <c r="B1596" s="60">
        <v>1594</v>
      </c>
      <c r="C1596" s="61" t="s">
        <v>4099</v>
      </c>
      <c r="D1596" s="62" t="s">
        <v>4100</v>
      </c>
      <c r="E1596" s="63" t="s">
        <v>4101</v>
      </c>
    </row>
    <row r="1597" spans="2:5" ht="33.75" customHeight="1">
      <c r="B1597" s="60">
        <v>1595</v>
      </c>
      <c r="C1597" s="61" t="s">
        <v>4102</v>
      </c>
      <c r="D1597" s="62" t="s">
        <v>4103</v>
      </c>
      <c r="E1597" s="63"/>
    </row>
    <row r="1598" spans="2:5" ht="33.75" customHeight="1">
      <c r="B1598" s="60">
        <v>1596</v>
      </c>
      <c r="C1598" s="61" t="s">
        <v>4104</v>
      </c>
      <c r="D1598" s="62" t="s">
        <v>4105</v>
      </c>
      <c r="E1598" s="63" t="s">
        <v>4106</v>
      </c>
    </row>
    <row r="1599" spans="2:5" ht="33.75" customHeight="1">
      <c r="B1599" s="60">
        <v>1597</v>
      </c>
      <c r="C1599" s="61" t="s">
        <v>4107</v>
      </c>
      <c r="D1599" s="62" t="s">
        <v>4108</v>
      </c>
      <c r="E1599" s="63" t="s">
        <v>4109</v>
      </c>
    </row>
    <row r="1600" spans="2:5" ht="33.75" customHeight="1">
      <c r="B1600" s="60">
        <v>1598</v>
      </c>
      <c r="C1600" s="61" t="s">
        <v>4110</v>
      </c>
      <c r="D1600" s="62" t="s">
        <v>4111</v>
      </c>
      <c r="E1600" s="63"/>
    </row>
    <row r="1601" spans="2:5" ht="33.75" customHeight="1">
      <c r="B1601" s="60">
        <v>1599</v>
      </c>
      <c r="C1601" s="61" t="s">
        <v>4112</v>
      </c>
      <c r="D1601" s="62" t="s">
        <v>4113</v>
      </c>
      <c r="E1601" s="63"/>
    </row>
    <row r="1602" spans="2:5" ht="33.75" customHeight="1">
      <c r="B1602" s="60">
        <v>1600</v>
      </c>
      <c r="C1602" s="61" t="s">
        <v>4114</v>
      </c>
      <c r="D1602" s="62" t="s">
        <v>4115</v>
      </c>
      <c r="E1602" s="63" t="s">
        <v>4116</v>
      </c>
    </row>
    <row r="1603" spans="2:5" ht="33.75" customHeight="1">
      <c r="B1603" s="60">
        <v>1601</v>
      </c>
      <c r="C1603" s="61" t="s">
        <v>4117</v>
      </c>
      <c r="D1603" s="62" t="s">
        <v>4118</v>
      </c>
      <c r="E1603" s="63" t="s">
        <v>4119</v>
      </c>
    </row>
    <row r="1604" spans="2:5" ht="33.75" customHeight="1">
      <c r="B1604" s="60">
        <v>1602</v>
      </c>
      <c r="C1604" s="61" t="s">
        <v>4120</v>
      </c>
      <c r="D1604" s="62" t="s">
        <v>4121</v>
      </c>
      <c r="E1604" s="63"/>
    </row>
    <row r="1605" spans="2:5" ht="33.75" customHeight="1">
      <c r="B1605" s="60">
        <v>1603</v>
      </c>
      <c r="C1605" s="61" t="s">
        <v>4122</v>
      </c>
      <c r="D1605" s="62" t="s">
        <v>4123</v>
      </c>
      <c r="E1605" s="63"/>
    </row>
    <row r="1606" spans="2:5" ht="33.75" customHeight="1">
      <c r="B1606" s="60">
        <v>1604</v>
      </c>
      <c r="C1606" s="61" t="s">
        <v>4124</v>
      </c>
      <c r="D1606" s="62" t="s">
        <v>4125</v>
      </c>
      <c r="E1606" s="63" t="s">
        <v>4126</v>
      </c>
    </row>
    <row r="1607" spans="2:5" ht="33.75" customHeight="1">
      <c r="B1607" s="60">
        <v>1605</v>
      </c>
      <c r="C1607" s="61" t="s">
        <v>4127</v>
      </c>
      <c r="D1607" s="62" t="s">
        <v>4128</v>
      </c>
      <c r="E1607" s="63" t="s">
        <v>4129</v>
      </c>
    </row>
    <row r="1608" spans="2:5" ht="33.75" customHeight="1">
      <c r="B1608" s="60">
        <v>1606</v>
      </c>
      <c r="C1608" s="61" t="s">
        <v>4130</v>
      </c>
      <c r="D1608" s="62" t="s">
        <v>4131</v>
      </c>
      <c r="E1608" s="63" t="s">
        <v>4132</v>
      </c>
    </row>
    <row r="1609" spans="2:5" ht="33.75" customHeight="1">
      <c r="B1609" s="60">
        <v>1607</v>
      </c>
      <c r="C1609" s="61" t="s">
        <v>4133</v>
      </c>
      <c r="D1609" s="62" t="s">
        <v>4134</v>
      </c>
      <c r="E1609" s="63" t="s">
        <v>4135</v>
      </c>
    </row>
    <row r="1610" spans="2:5" ht="33.75" customHeight="1">
      <c r="B1610" s="60">
        <v>1608</v>
      </c>
      <c r="C1610" s="61" t="s">
        <v>4136</v>
      </c>
      <c r="D1610" s="62" t="s">
        <v>4137</v>
      </c>
      <c r="E1610" s="63"/>
    </row>
    <row r="1611" spans="2:5" ht="33.75" customHeight="1">
      <c r="B1611" s="60">
        <v>1609</v>
      </c>
      <c r="C1611" s="61" t="s">
        <v>4138</v>
      </c>
      <c r="D1611" s="62" t="s">
        <v>4139</v>
      </c>
      <c r="E1611" s="63" t="s">
        <v>4140</v>
      </c>
    </row>
    <row r="1612" spans="2:5" ht="33.75" customHeight="1">
      <c r="B1612" s="60">
        <v>1610</v>
      </c>
      <c r="C1612" s="61" t="s">
        <v>4141</v>
      </c>
      <c r="D1612" s="62" t="s">
        <v>4142</v>
      </c>
      <c r="E1612" s="63"/>
    </row>
    <row r="1613" spans="2:5" ht="33.75" customHeight="1">
      <c r="B1613" s="60">
        <v>1611</v>
      </c>
      <c r="C1613" s="61" t="s">
        <v>4143</v>
      </c>
      <c r="D1613" s="62" t="s">
        <v>4144</v>
      </c>
      <c r="E1613" s="63"/>
    </row>
    <row r="1614" spans="2:5" ht="33.75" customHeight="1">
      <c r="B1614" s="60">
        <v>1612</v>
      </c>
      <c r="C1614" s="61" t="s">
        <v>4145</v>
      </c>
      <c r="D1614" s="62" t="s">
        <v>4146</v>
      </c>
      <c r="E1614" s="63"/>
    </row>
    <row r="1615" spans="2:5" ht="33.75" customHeight="1">
      <c r="B1615" s="60">
        <v>1613</v>
      </c>
      <c r="C1615" s="61" t="s">
        <v>4147</v>
      </c>
      <c r="D1615" s="62" t="s">
        <v>4148</v>
      </c>
      <c r="E1615" s="63" t="s">
        <v>4149</v>
      </c>
    </row>
    <row r="1616" spans="2:5" ht="33.75" customHeight="1">
      <c r="B1616" s="60">
        <v>1614</v>
      </c>
      <c r="C1616" s="61" t="s">
        <v>4150</v>
      </c>
      <c r="D1616" s="62" t="s">
        <v>4151</v>
      </c>
      <c r="E1616" s="63" t="s">
        <v>4152</v>
      </c>
    </row>
    <row r="1617" spans="2:5" ht="33.75" customHeight="1">
      <c r="B1617" s="60">
        <v>1615</v>
      </c>
      <c r="C1617" s="61" t="s">
        <v>4153</v>
      </c>
      <c r="D1617" s="62" t="s">
        <v>4154</v>
      </c>
      <c r="E1617" s="63" t="s">
        <v>4155</v>
      </c>
    </row>
    <row r="1618" spans="2:5" ht="33.75" customHeight="1">
      <c r="B1618" s="60">
        <v>1616</v>
      </c>
      <c r="C1618" s="61" t="s">
        <v>4156</v>
      </c>
      <c r="D1618" s="62" t="s">
        <v>4157</v>
      </c>
      <c r="E1618" s="63" t="s">
        <v>4158</v>
      </c>
    </row>
    <row r="1619" spans="2:5" ht="33.75" customHeight="1">
      <c r="B1619" s="60">
        <v>1617</v>
      </c>
      <c r="C1619" s="61" t="s">
        <v>4159</v>
      </c>
      <c r="D1619" s="62" t="s">
        <v>4160</v>
      </c>
      <c r="E1619" s="63" t="s">
        <v>4161</v>
      </c>
    </row>
    <row r="1620" spans="2:5" ht="33.75" customHeight="1">
      <c r="B1620" s="60">
        <v>1618</v>
      </c>
      <c r="C1620" s="61" t="s">
        <v>4162</v>
      </c>
      <c r="D1620" s="62" t="s">
        <v>4163</v>
      </c>
      <c r="E1620" s="63"/>
    </row>
    <row r="1621" spans="2:5" ht="33.75" customHeight="1">
      <c r="B1621" s="60">
        <v>1619</v>
      </c>
      <c r="C1621" s="61" t="s">
        <v>4164</v>
      </c>
      <c r="D1621" s="62" t="s">
        <v>4165</v>
      </c>
      <c r="E1621" s="63" t="s">
        <v>4166</v>
      </c>
    </row>
    <row r="1622" spans="2:5" ht="33.75" customHeight="1">
      <c r="B1622" s="60">
        <v>1620</v>
      </c>
      <c r="C1622" s="61" t="s">
        <v>4167</v>
      </c>
      <c r="D1622" s="62" t="s">
        <v>4168</v>
      </c>
      <c r="E1622" s="63" t="s">
        <v>4169</v>
      </c>
    </row>
    <row r="1623" spans="2:5" ht="33.75" customHeight="1">
      <c r="B1623" s="60">
        <v>1621</v>
      </c>
      <c r="C1623" s="61" t="s">
        <v>4170</v>
      </c>
      <c r="D1623" s="62" t="s">
        <v>4171</v>
      </c>
      <c r="E1623" s="63"/>
    </row>
    <row r="1624" spans="2:5" ht="33.75" customHeight="1">
      <c r="B1624" s="60">
        <v>1622</v>
      </c>
      <c r="C1624" s="61" t="s">
        <v>4172</v>
      </c>
      <c r="D1624" s="62" t="s">
        <v>4173</v>
      </c>
      <c r="E1624" s="63"/>
    </row>
    <row r="1625" spans="2:5" ht="33.75" customHeight="1">
      <c r="B1625" s="60">
        <v>1623</v>
      </c>
      <c r="C1625" s="61" t="s">
        <v>4174</v>
      </c>
      <c r="D1625" s="62" t="s">
        <v>4175</v>
      </c>
      <c r="E1625" s="63" t="s">
        <v>4176</v>
      </c>
    </row>
    <row r="1626" spans="2:5" ht="33.75" customHeight="1">
      <c r="B1626" s="60">
        <v>1624</v>
      </c>
      <c r="C1626" s="61" t="s">
        <v>4177</v>
      </c>
      <c r="D1626" s="62" t="s">
        <v>4178</v>
      </c>
      <c r="E1626" s="63" t="s">
        <v>4179</v>
      </c>
    </row>
    <row r="1627" spans="2:5" ht="33.75" customHeight="1">
      <c r="B1627" s="60">
        <v>1625</v>
      </c>
      <c r="C1627" s="61" t="s">
        <v>4180</v>
      </c>
      <c r="D1627" s="62" t="s">
        <v>4181</v>
      </c>
      <c r="E1627" s="63" t="s">
        <v>4182</v>
      </c>
    </row>
    <row r="1628" spans="2:5" ht="33.75" customHeight="1">
      <c r="B1628" s="60">
        <v>1626</v>
      </c>
      <c r="C1628" s="61" t="s">
        <v>4183</v>
      </c>
      <c r="D1628" s="62" t="s">
        <v>4184</v>
      </c>
      <c r="E1628" s="63" t="s">
        <v>4185</v>
      </c>
    </row>
    <row r="1629" spans="2:5" ht="33.75" customHeight="1">
      <c r="B1629" s="60">
        <v>1627</v>
      </c>
      <c r="C1629" s="61" t="s">
        <v>4186</v>
      </c>
      <c r="D1629" s="62" t="s">
        <v>4187</v>
      </c>
      <c r="E1629" s="63" t="s">
        <v>4188</v>
      </c>
    </row>
    <row r="1630" spans="2:5" ht="33.75" customHeight="1">
      <c r="B1630" s="60">
        <v>1628</v>
      </c>
      <c r="C1630" s="61" t="s">
        <v>4189</v>
      </c>
      <c r="D1630" s="62" t="s">
        <v>4190</v>
      </c>
      <c r="E1630" s="63" t="s">
        <v>4191</v>
      </c>
    </row>
    <row r="1631" spans="2:5" ht="33.75" customHeight="1">
      <c r="B1631" s="60">
        <v>1629</v>
      </c>
      <c r="C1631" s="61" t="s">
        <v>4192</v>
      </c>
      <c r="D1631" s="62" t="s">
        <v>4193</v>
      </c>
      <c r="E1631" s="63" t="s">
        <v>4194</v>
      </c>
    </row>
    <row r="1632" spans="2:5" ht="33.75" customHeight="1">
      <c r="B1632" s="60">
        <v>1630</v>
      </c>
      <c r="C1632" s="61" t="s">
        <v>4195</v>
      </c>
      <c r="D1632" s="62" t="s">
        <v>4196</v>
      </c>
      <c r="E1632" s="63" t="s">
        <v>4197</v>
      </c>
    </row>
    <row r="1633" spans="2:5" ht="33.75" customHeight="1">
      <c r="B1633" s="60">
        <v>1631</v>
      </c>
      <c r="C1633" s="61" t="s">
        <v>4198</v>
      </c>
      <c r="D1633" s="62" t="s">
        <v>4199</v>
      </c>
      <c r="E1633" s="63" t="s">
        <v>4200</v>
      </c>
    </row>
    <row r="1634" spans="2:5" ht="33.75" customHeight="1">
      <c r="B1634" s="60">
        <v>1632</v>
      </c>
      <c r="C1634" s="61" t="s">
        <v>4201</v>
      </c>
      <c r="D1634" s="62" t="s">
        <v>4202</v>
      </c>
      <c r="E1634" s="63" t="s">
        <v>4203</v>
      </c>
    </row>
    <row r="1635" spans="2:5" ht="33.75" customHeight="1">
      <c r="B1635" s="60">
        <v>1633</v>
      </c>
      <c r="C1635" s="61" t="s">
        <v>4204</v>
      </c>
      <c r="D1635" s="62" t="s">
        <v>4205</v>
      </c>
      <c r="E1635" s="63" t="s">
        <v>4206</v>
      </c>
    </row>
    <row r="1636" spans="2:5" ht="33.75" customHeight="1">
      <c r="B1636" s="60">
        <v>1634</v>
      </c>
      <c r="C1636" s="61" t="s">
        <v>4207</v>
      </c>
      <c r="D1636" s="62" t="s">
        <v>4208</v>
      </c>
      <c r="E1636" s="63" t="s">
        <v>4209</v>
      </c>
    </row>
    <row r="1637" spans="2:5" ht="33.75" customHeight="1">
      <c r="B1637" s="60">
        <v>1635</v>
      </c>
      <c r="C1637" s="61" t="s">
        <v>4210</v>
      </c>
      <c r="D1637" s="62" t="s">
        <v>4211</v>
      </c>
      <c r="E1637" s="63" t="s">
        <v>4212</v>
      </c>
    </row>
    <row r="1638" spans="2:5" ht="33.75" customHeight="1">
      <c r="B1638" s="60">
        <v>1636</v>
      </c>
      <c r="C1638" s="61" t="s">
        <v>4213</v>
      </c>
      <c r="D1638" s="62" t="s">
        <v>4214</v>
      </c>
      <c r="E1638" s="63" t="s">
        <v>4215</v>
      </c>
    </row>
    <row r="1639" spans="2:5" ht="33.75" customHeight="1">
      <c r="B1639" s="60">
        <v>1637</v>
      </c>
      <c r="C1639" s="61" t="s">
        <v>4216</v>
      </c>
      <c r="D1639" s="62" t="s">
        <v>4217</v>
      </c>
      <c r="E1639" s="63" t="s">
        <v>4218</v>
      </c>
    </row>
    <row r="1640" spans="2:5" ht="33.75" customHeight="1">
      <c r="B1640" s="60">
        <v>1638</v>
      </c>
      <c r="C1640" s="61" t="s">
        <v>4219</v>
      </c>
      <c r="D1640" s="62" t="s">
        <v>4220</v>
      </c>
      <c r="E1640" s="63" t="s">
        <v>4221</v>
      </c>
    </row>
    <row r="1641" spans="2:5" ht="33.75" customHeight="1">
      <c r="B1641" s="60">
        <v>1639</v>
      </c>
      <c r="C1641" s="61" t="s">
        <v>4222</v>
      </c>
      <c r="D1641" s="62" t="s">
        <v>4223</v>
      </c>
      <c r="E1641" s="63" t="s">
        <v>4224</v>
      </c>
    </row>
    <row r="1642" spans="2:5" ht="33.75" customHeight="1">
      <c r="B1642" s="60">
        <v>1640</v>
      </c>
      <c r="C1642" s="61" t="s">
        <v>4225</v>
      </c>
      <c r="D1642" s="62" t="s">
        <v>4226</v>
      </c>
      <c r="E1642" s="63" t="s">
        <v>4227</v>
      </c>
    </row>
    <row r="1643" spans="2:5" ht="33.75" customHeight="1">
      <c r="B1643" s="60">
        <v>1641</v>
      </c>
      <c r="C1643" s="61" t="s">
        <v>4228</v>
      </c>
      <c r="D1643" s="62" t="s">
        <v>4229</v>
      </c>
      <c r="E1643" s="63" t="s">
        <v>4230</v>
      </c>
    </row>
    <row r="1644" spans="2:5" ht="33.75" customHeight="1">
      <c r="B1644" s="60">
        <v>1642</v>
      </c>
      <c r="C1644" s="61" t="s">
        <v>4231</v>
      </c>
      <c r="D1644" s="62" t="s">
        <v>4232</v>
      </c>
      <c r="E1644" s="63" t="s">
        <v>4233</v>
      </c>
    </row>
    <row r="1645" spans="2:5" ht="33.75" customHeight="1">
      <c r="B1645" s="60">
        <v>1643</v>
      </c>
      <c r="C1645" s="61" t="s">
        <v>4234</v>
      </c>
      <c r="D1645" s="62" t="s">
        <v>4235</v>
      </c>
      <c r="E1645" s="63"/>
    </row>
    <row r="1646" spans="2:5" ht="33.75" customHeight="1">
      <c r="B1646" s="60">
        <v>1644</v>
      </c>
      <c r="C1646" s="61" t="s">
        <v>4236</v>
      </c>
      <c r="D1646" s="62" t="s">
        <v>4237</v>
      </c>
      <c r="E1646" s="63" t="s">
        <v>4238</v>
      </c>
    </row>
    <row r="1647" spans="2:5" ht="33.75" customHeight="1">
      <c r="B1647" s="60">
        <v>1645</v>
      </c>
      <c r="C1647" s="61" t="s">
        <v>4239</v>
      </c>
      <c r="D1647" s="62" t="s">
        <v>4240</v>
      </c>
      <c r="E1647" s="63" t="s">
        <v>4238</v>
      </c>
    </row>
    <row r="1648" spans="2:5" ht="33.75" customHeight="1">
      <c r="B1648" s="60">
        <v>1646</v>
      </c>
      <c r="C1648" s="61" t="s">
        <v>4241</v>
      </c>
      <c r="D1648" s="62" t="s">
        <v>4242</v>
      </c>
      <c r="E1648" s="63" t="s">
        <v>4243</v>
      </c>
    </row>
    <row r="1649" spans="2:5" ht="33.75" customHeight="1">
      <c r="B1649" s="60">
        <v>1647</v>
      </c>
      <c r="C1649" s="61" t="s">
        <v>4244</v>
      </c>
      <c r="D1649" s="62" t="s">
        <v>4245</v>
      </c>
      <c r="E1649" s="63" t="s">
        <v>4246</v>
      </c>
    </row>
    <row r="1650" spans="2:5" ht="33.75" customHeight="1">
      <c r="B1650" s="60">
        <v>1648</v>
      </c>
      <c r="C1650" s="61" t="s">
        <v>4247</v>
      </c>
      <c r="D1650" s="62" t="s">
        <v>4248</v>
      </c>
      <c r="E1650" s="63" t="s">
        <v>4249</v>
      </c>
    </row>
    <row r="1651" spans="2:5" ht="33.75" customHeight="1">
      <c r="B1651" s="60">
        <v>1649</v>
      </c>
      <c r="C1651" s="61" t="s">
        <v>4250</v>
      </c>
      <c r="D1651" s="62" t="s">
        <v>4251</v>
      </c>
      <c r="E1651" s="63" t="s">
        <v>4252</v>
      </c>
    </row>
    <row r="1652" spans="2:5" ht="33.75" customHeight="1">
      <c r="B1652" s="60">
        <v>1650</v>
      </c>
      <c r="C1652" s="61" t="s">
        <v>4253</v>
      </c>
      <c r="D1652" s="62" t="s">
        <v>4254</v>
      </c>
      <c r="E1652" s="63" t="s">
        <v>4252</v>
      </c>
    </row>
    <row r="1653" spans="2:5" ht="33.75" customHeight="1">
      <c r="B1653" s="60">
        <v>1651</v>
      </c>
      <c r="C1653" s="61" t="s">
        <v>4255</v>
      </c>
      <c r="D1653" s="62" t="s">
        <v>4256</v>
      </c>
      <c r="E1653" s="63"/>
    </row>
    <row r="1654" spans="2:5" ht="33.75" customHeight="1">
      <c r="B1654" s="60">
        <v>1652</v>
      </c>
      <c r="C1654" s="61" t="s">
        <v>4257</v>
      </c>
      <c r="D1654" s="62" t="s">
        <v>4258</v>
      </c>
      <c r="E1654" s="63" t="s">
        <v>4259</v>
      </c>
    </row>
    <row r="1655" spans="2:5" ht="33.75" customHeight="1">
      <c r="B1655" s="60">
        <v>1653</v>
      </c>
      <c r="C1655" s="61" t="s">
        <v>4260</v>
      </c>
      <c r="D1655" s="62" t="s">
        <v>4261</v>
      </c>
      <c r="E1655" s="63" t="s">
        <v>4262</v>
      </c>
    </row>
    <row r="1656" spans="2:5" ht="33.75" customHeight="1">
      <c r="B1656" s="60">
        <v>1654</v>
      </c>
      <c r="C1656" s="61" t="s">
        <v>4263</v>
      </c>
      <c r="D1656" s="62" t="s">
        <v>4264</v>
      </c>
      <c r="E1656" s="63"/>
    </row>
    <row r="1657" spans="2:5" ht="33.75" customHeight="1">
      <c r="B1657" s="60">
        <v>1655</v>
      </c>
      <c r="C1657" s="61" t="s">
        <v>4265</v>
      </c>
      <c r="D1657" s="62" t="s">
        <v>4266</v>
      </c>
      <c r="E1657" s="63" t="s">
        <v>4267</v>
      </c>
    </row>
    <row r="1658" spans="2:5" ht="33.75" customHeight="1">
      <c r="B1658" s="60">
        <v>1656</v>
      </c>
      <c r="C1658" s="61" t="s">
        <v>4268</v>
      </c>
      <c r="D1658" s="62" t="s">
        <v>4269</v>
      </c>
      <c r="E1658" s="63" t="s">
        <v>4270</v>
      </c>
    </row>
    <row r="1659" spans="2:5" ht="33.75" customHeight="1">
      <c r="B1659" s="60">
        <v>1657</v>
      </c>
      <c r="C1659" s="61" t="s">
        <v>4271</v>
      </c>
      <c r="D1659" s="62" t="s">
        <v>4272</v>
      </c>
      <c r="E1659" s="63" t="s">
        <v>4273</v>
      </c>
    </row>
    <row r="1660" spans="2:5" ht="33.75" customHeight="1">
      <c r="B1660" s="60">
        <v>1658</v>
      </c>
      <c r="C1660" s="61" t="s">
        <v>4274</v>
      </c>
      <c r="D1660" s="62" t="s">
        <v>4275</v>
      </c>
      <c r="E1660" s="64" t="s">
        <v>4276</v>
      </c>
    </row>
    <row r="1661" spans="2:5" ht="33.75" customHeight="1">
      <c r="B1661" s="60">
        <v>1659</v>
      </c>
      <c r="C1661" s="61" t="s">
        <v>4277</v>
      </c>
      <c r="D1661" s="62" t="s">
        <v>4278</v>
      </c>
      <c r="E1661" s="63"/>
    </row>
    <row r="1662" spans="2:5" ht="33.75" customHeight="1">
      <c r="B1662" s="60">
        <v>1660</v>
      </c>
      <c r="C1662" s="61" t="s">
        <v>4279</v>
      </c>
      <c r="D1662" s="62" t="s">
        <v>4280</v>
      </c>
      <c r="E1662" s="63"/>
    </row>
    <row r="1663" spans="2:5" ht="33.75" customHeight="1">
      <c r="B1663" s="60">
        <v>1661</v>
      </c>
      <c r="C1663" s="61" t="s">
        <v>4281</v>
      </c>
      <c r="D1663" s="62" t="s">
        <v>4282</v>
      </c>
      <c r="E1663" s="63"/>
    </row>
    <row r="1664" spans="2:5" ht="33.75" customHeight="1">
      <c r="B1664" s="60">
        <v>1662</v>
      </c>
      <c r="C1664" s="61" t="s">
        <v>4283</v>
      </c>
      <c r="D1664" s="62" t="s">
        <v>4284</v>
      </c>
      <c r="E1664" s="63"/>
    </row>
    <row r="1665" spans="2:5" ht="33.75" customHeight="1">
      <c r="B1665" s="60">
        <v>1663</v>
      </c>
      <c r="C1665" s="61" t="s">
        <v>4285</v>
      </c>
      <c r="D1665" s="62" t="s">
        <v>4286</v>
      </c>
      <c r="E1665" s="64" t="s">
        <v>4276</v>
      </c>
    </row>
    <row r="1666" spans="2:5" ht="33.75" customHeight="1">
      <c r="B1666" s="60">
        <v>1664</v>
      </c>
      <c r="C1666" s="61" t="s">
        <v>4287</v>
      </c>
      <c r="D1666" s="62" t="s">
        <v>4288</v>
      </c>
      <c r="E1666" s="63" t="s">
        <v>4289</v>
      </c>
    </row>
    <row r="1667" spans="2:5" ht="33.75" customHeight="1">
      <c r="B1667" s="60">
        <v>1665</v>
      </c>
      <c r="C1667" s="61" t="s">
        <v>4290</v>
      </c>
      <c r="D1667" s="62" t="s">
        <v>4291</v>
      </c>
      <c r="E1667" s="63" t="s">
        <v>4292</v>
      </c>
    </row>
    <row r="1668" spans="2:5" ht="33.75" customHeight="1">
      <c r="B1668" s="60">
        <v>1666</v>
      </c>
      <c r="C1668" s="61" t="s">
        <v>4293</v>
      </c>
      <c r="D1668" s="62" t="s">
        <v>4294</v>
      </c>
      <c r="E1668" s="63"/>
    </row>
    <row r="1669" spans="2:5" ht="33.75" customHeight="1">
      <c r="B1669" s="60">
        <v>1667</v>
      </c>
      <c r="C1669" s="61" t="s">
        <v>4295</v>
      </c>
      <c r="D1669" s="62" t="s">
        <v>4296</v>
      </c>
      <c r="E1669" s="63" t="s">
        <v>4297</v>
      </c>
    </row>
    <row r="1670" spans="2:5" ht="33.75" customHeight="1">
      <c r="B1670" s="60">
        <v>1668</v>
      </c>
      <c r="C1670" s="61" t="s">
        <v>4298</v>
      </c>
      <c r="D1670" s="62" t="s">
        <v>4299</v>
      </c>
      <c r="E1670" s="63"/>
    </row>
    <row r="1671" spans="2:5" ht="33.75" customHeight="1">
      <c r="B1671" s="60">
        <v>1669</v>
      </c>
      <c r="C1671" s="61" t="s">
        <v>4300</v>
      </c>
      <c r="D1671" s="62" t="s">
        <v>4301</v>
      </c>
      <c r="E1671" s="63" t="s">
        <v>4302</v>
      </c>
    </row>
    <row r="1672" spans="2:5" ht="33.75" customHeight="1">
      <c r="B1672" s="60">
        <v>1670</v>
      </c>
      <c r="C1672" s="61" t="s">
        <v>4303</v>
      </c>
      <c r="D1672" s="62" t="s">
        <v>4304</v>
      </c>
      <c r="E1672" s="63"/>
    </row>
    <row r="1673" spans="2:5" ht="33.75" customHeight="1">
      <c r="B1673" s="60">
        <v>1671</v>
      </c>
      <c r="C1673" s="61" t="s">
        <v>4305</v>
      </c>
      <c r="D1673" s="62" t="s">
        <v>4306</v>
      </c>
      <c r="E1673" s="63" t="s">
        <v>4307</v>
      </c>
    </row>
    <row r="1674" spans="2:5" ht="33.75" customHeight="1">
      <c r="B1674" s="60">
        <v>1672</v>
      </c>
      <c r="C1674" s="61" t="s">
        <v>4308</v>
      </c>
      <c r="D1674" s="62" t="s">
        <v>4309</v>
      </c>
      <c r="E1674" s="63"/>
    </row>
    <row r="1675" spans="2:5" ht="33.75" customHeight="1">
      <c r="B1675" s="60">
        <v>1673</v>
      </c>
      <c r="C1675" s="61" t="s">
        <v>4310</v>
      </c>
      <c r="D1675" s="62" t="s">
        <v>4311</v>
      </c>
      <c r="E1675" s="63"/>
    </row>
    <row r="1676" spans="2:5" ht="33.75" customHeight="1">
      <c r="B1676" s="60">
        <v>1674</v>
      </c>
      <c r="C1676" s="61" t="s">
        <v>4312</v>
      </c>
      <c r="D1676" s="62" t="s">
        <v>4313</v>
      </c>
      <c r="E1676" s="63" t="s">
        <v>4314</v>
      </c>
    </row>
    <row r="1677" spans="2:5" ht="33.75" customHeight="1">
      <c r="B1677" s="60">
        <v>1675</v>
      </c>
      <c r="C1677" s="61" t="s">
        <v>4315</v>
      </c>
      <c r="D1677" s="62" t="s">
        <v>4316</v>
      </c>
      <c r="E1677" s="63" t="s">
        <v>4317</v>
      </c>
    </row>
    <row r="1678" spans="2:5" ht="33.75" customHeight="1">
      <c r="B1678" s="60">
        <v>1676</v>
      </c>
      <c r="C1678" s="61" t="s">
        <v>4318</v>
      </c>
      <c r="D1678" s="62" t="s">
        <v>4319</v>
      </c>
      <c r="E1678" s="63"/>
    </row>
    <row r="1679" spans="2:5" ht="33.75" customHeight="1">
      <c r="B1679" s="60">
        <v>1677</v>
      </c>
      <c r="C1679" s="61" t="s">
        <v>4320</v>
      </c>
      <c r="D1679" s="62" t="s">
        <v>4321</v>
      </c>
      <c r="E1679" s="63" t="s">
        <v>4322</v>
      </c>
    </row>
    <row r="1680" spans="2:5" ht="33.75" customHeight="1">
      <c r="B1680" s="60">
        <v>1678</v>
      </c>
      <c r="C1680" s="61" t="s">
        <v>4323</v>
      </c>
      <c r="D1680" s="62" t="s">
        <v>4324</v>
      </c>
      <c r="E1680" s="63"/>
    </row>
    <row r="1681" spans="2:5" ht="33.75" customHeight="1">
      <c r="B1681" s="60">
        <v>1679</v>
      </c>
      <c r="C1681" s="61" t="s">
        <v>4325</v>
      </c>
      <c r="D1681" s="62" t="s">
        <v>4326</v>
      </c>
      <c r="E1681" s="63" t="s">
        <v>4327</v>
      </c>
    </row>
    <row r="1682" spans="2:5" ht="33.75" customHeight="1">
      <c r="B1682" s="60">
        <v>1680</v>
      </c>
      <c r="C1682" s="61" t="s">
        <v>4328</v>
      </c>
      <c r="D1682" s="62" t="s">
        <v>4329</v>
      </c>
      <c r="E1682" s="63"/>
    </row>
    <row r="1683" spans="2:5" ht="33.75" customHeight="1">
      <c r="B1683" s="60">
        <v>1681</v>
      </c>
      <c r="C1683" s="61" t="s">
        <v>4330</v>
      </c>
      <c r="D1683" s="62" t="s">
        <v>4331</v>
      </c>
      <c r="E1683" s="63" t="s">
        <v>4332</v>
      </c>
    </row>
    <row r="1684" spans="2:5" ht="33.75" customHeight="1">
      <c r="B1684" s="60">
        <v>1682</v>
      </c>
      <c r="C1684" s="61" t="s">
        <v>4333</v>
      </c>
      <c r="D1684" s="62" t="s">
        <v>4334</v>
      </c>
      <c r="E1684" s="63"/>
    </row>
    <row r="1685" spans="2:5" ht="33.75" customHeight="1">
      <c r="B1685" s="60">
        <v>1683</v>
      </c>
      <c r="C1685" s="61" t="s">
        <v>4335</v>
      </c>
      <c r="D1685" s="62" t="s">
        <v>4336</v>
      </c>
      <c r="E1685" s="63" t="s">
        <v>4337</v>
      </c>
    </row>
    <row r="1686" spans="2:5" ht="33.75" customHeight="1">
      <c r="B1686" s="60">
        <v>1684</v>
      </c>
      <c r="C1686" s="61" t="s">
        <v>4338</v>
      </c>
      <c r="D1686" s="62" t="s">
        <v>4339</v>
      </c>
      <c r="E1686" s="63" t="s">
        <v>4340</v>
      </c>
    </row>
    <row r="1687" spans="2:5" ht="33.75" customHeight="1">
      <c r="B1687" s="60">
        <v>1685</v>
      </c>
      <c r="C1687" s="61" t="s">
        <v>4341</v>
      </c>
      <c r="D1687" s="62" t="s">
        <v>4342</v>
      </c>
      <c r="E1687" s="63"/>
    </row>
    <row r="1688" spans="2:5" ht="33.75" customHeight="1">
      <c r="B1688" s="60">
        <v>1686</v>
      </c>
      <c r="C1688" s="61" t="s">
        <v>4343</v>
      </c>
      <c r="D1688" s="62" t="s">
        <v>4344</v>
      </c>
      <c r="E1688" s="63"/>
    </row>
    <row r="1689" spans="2:5" ht="33.75" customHeight="1">
      <c r="B1689" s="60">
        <v>1687</v>
      </c>
      <c r="C1689" s="61" t="s">
        <v>4345</v>
      </c>
      <c r="D1689" s="62" t="s">
        <v>4346</v>
      </c>
      <c r="E1689" s="63"/>
    </row>
    <row r="1690" spans="2:5" ht="33.75" customHeight="1">
      <c r="B1690" s="60">
        <v>1688</v>
      </c>
      <c r="C1690" s="61" t="s">
        <v>4347</v>
      </c>
      <c r="D1690" s="62" t="s">
        <v>4348</v>
      </c>
      <c r="E1690" s="63" t="s">
        <v>4349</v>
      </c>
    </row>
    <row r="1691" spans="2:5" ht="33.75" customHeight="1">
      <c r="B1691" s="60">
        <v>1689</v>
      </c>
      <c r="C1691" s="61" t="s">
        <v>4350</v>
      </c>
      <c r="D1691" s="62" t="s">
        <v>4351</v>
      </c>
      <c r="E1691" s="63"/>
    </row>
    <row r="1692" spans="2:5" ht="33.75" customHeight="1">
      <c r="B1692" s="60">
        <v>1690</v>
      </c>
      <c r="C1692" s="61" t="s">
        <v>4352</v>
      </c>
      <c r="D1692" s="62" t="s">
        <v>4353</v>
      </c>
      <c r="E1692" s="63" t="s">
        <v>4354</v>
      </c>
    </row>
    <row r="1693" spans="2:5" ht="33.75" customHeight="1">
      <c r="B1693" s="60">
        <v>1691</v>
      </c>
      <c r="C1693" s="61" t="s">
        <v>4355</v>
      </c>
      <c r="D1693" s="62" t="s">
        <v>4356</v>
      </c>
      <c r="E1693" s="63"/>
    </row>
    <row r="1694" spans="2:5" ht="33.75" customHeight="1">
      <c r="B1694" s="60">
        <v>1692</v>
      </c>
      <c r="C1694" s="61" t="s">
        <v>4357</v>
      </c>
      <c r="D1694" s="62" t="s">
        <v>4358</v>
      </c>
      <c r="E1694" s="63" t="s">
        <v>4359</v>
      </c>
    </row>
    <row r="1695" spans="2:5" ht="33.75" customHeight="1">
      <c r="B1695" s="60">
        <v>1693</v>
      </c>
      <c r="C1695" s="61" t="s">
        <v>4360</v>
      </c>
      <c r="D1695" s="62" t="s">
        <v>4361</v>
      </c>
      <c r="E1695" s="63" t="s">
        <v>4362</v>
      </c>
    </row>
    <row r="1696" spans="2:5" ht="33.75" customHeight="1">
      <c r="B1696" s="60">
        <v>1694</v>
      </c>
      <c r="C1696" s="61" t="s">
        <v>4363</v>
      </c>
      <c r="D1696" s="62" t="s">
        <v>4364</v>
      </c>
      <c r="E1696" s="63"/>
    </row>
    <row r="1697" spans="2:5" ht="33.75" customHeight="1">
      <c r="B1697" s="60">
        <v>1695</v>
      </c>
      <c r="C1697" s="61" t="s">
        <v>4365</v>
      </c>
      <c r="D1697" s="62" t="s">
        <v>4366</v>
      </c>
      <c r="E1697" s="63"/>
    </row>
    <row r="1698" spans="2:5" ht="33.75" customHeight="1">
      <c r="B1698" s="60">
        <v>1696</v>
      </c>
      <c r="C1698" s="61" t="s">
        <v>4367</v>
      </c>
      <c r="D1698" s="62" t="s">
        <v>4368</v>
      </c>
      <c r="E1698" s="63"/>
    </row>
    <row r="1699" spans="2:5" ht="33.75" customHeight="1">
      <c r="B1699" s="60">
        <v>1697</v>
      </c>
      <c r="C1699" s="61" t="s">
        <v>4369</v>
      </c>
      <c r="D1699" s="62" t="s">
        <v>4370</v>
      </c>
      <c r="E1699" s="63" t="s">
        <v>4371</v>
      </c>
    </row>
    <row r="1700" spans="2:5" ht="33.75" customHeight="1">
      <c r="B1700" s="60">
        <v>1698</v>
      </c>
      <c r="C1700" s="61" t="s">
        <v>4372</v>
      </c>
      <c r="D1700" s="62" t="s">
        <v>4373</v>
      </c>
      <c r="E1700" s="63" t="s">
        <v>4374</v>
      </c>
    </row>
    <row r="1701" spans="2:5" ht="33.75" customHeight="1">
      <c r="B1701" s="60">
        <v>1699</v>
      </c>
      <c r="C1701" s="61" t="s">
        <v>4375</v>
      </c>
      <c r="D1701" s="62" t="s">
        <v>4376</v>
      </c>
      <c r="E1701" s="63"/>
    </row>
    <row r="1702" spans="2:5" ht="33.75" customHeight="1">
      <c r="B1702" s="60">
        <v>1700</v>
      </c>
      <c r="C1702" s="61" t="s">
        <v>4377</v>
      </c>
      <c r="D1702" s="62" t="s">
        <v>4378</v>
      </c>
      <c r="E1702" s="63" t="s">
        <v>4379</v>
      </c>
    </row>
    <row r="1703" spans="2:5" ht="33.75" customHeight="1">
      <c r="B1703" s="60">
        <v>1701</v>
      </c>
      <c r="C1703" s="61" t="s">
        <v>4380</v>
      </c>
      <c r="D1703" s="62" t="s">
        <v>4381</v>
      </c>
      <c r="E1703" s="63"/>
    </row>
    <row r="1704" spans="2:5" ht="33.75" customHeight="1">
      <c r="B1704" s="60">
        <v>1702</v>
      </c>
      <c r="C1704" s="61" t="s">
        <v>4382</v>
      </c>
      <c r="D1704" s="62" t="s">
        <v>4383</v>
      </c>
      <c r="E1704" s="63"/>
    </row>
    <row r="1705" spans="2:5" ht="33.75" customHeight="1">
      <c r="B1705" s="60">
        <v>1703</v>
      </c>
      <c r="C1705" s="61" t="s">
        <v>4384</v>
      </c>
      <c r="D1705" s="62" t="s">
        <v>4385</v>
      </c>
      <c r="E1705" s="63" t="s">
        <v>4386</v>
      </c>
    </row>
    <row r="1706" spans="2:5" ht="33.75" customHeight="1">
      <c r="B1706" s="60">
        <v>1704</v>
      </c>
      <c r="C1706" s="61" t="s">
        <v>4387</v>
      </c>
      <c r="D1706" s="62" t="s">
        <v>4388</v>
      </c>
      <c r="E1706" s="63"/>
    </row>
    <row r="1707" spans="2:5" ht="33.75" customHeight="1">
      <c r="B1707" s="60">
        <v>1705</v>
      </c>
      <c r="C1707" s="61" t="s">
        <v>4389</v>
      </c>
      <c r="D1707" s="62" t="s">
        <v>4390</v>
      </c>
      <c r="E1707" s="63"/>
    </row>
    <row r="1708" spans="2:5" ht="33.75" customHeight="1">
      <c r="B1708" s="60">
        <v>1706</v>
      </c>
      <c r="C1708" s="61" t="s">
        <v>4391</v>
      </c>
      <c r="D1708" s="62" t="s">
        <v>4392</v>
      </c>
      <c r="E1708" s="63"/>
    </row>
    <row r="1709" spans="2:5" ht="33.75" customHeight="1">
      <c r="B1709" s="60">
        <v>1707</v>
      </c>
      <c r="C1709" s="61" t="s">
        <v>4393</v>
      </c>
      <c r="D1709" s="62" t="s">
        <v>4394</v>
      </c>
      <c r="E1709" s="63" t="s">
        <v>4395</v>
      </c>
    </row>
    <row r="1710" spans="2:5" ht="33.75" customHeight="1">
      <c r="B1710" s="60">
        <v>1708</v>
      </c>
      <c r="C1710" s="61" t="s">
        <v>4396</v>
      </c>
      <c r="D1710" s="62" t="s">
        <v>4397</v>
      </c>
      <c r="E1710" s="63"/>
    </row>
    <row r="1711" spans="2:5" ht="33.75" customHeight="1">
      <c r="B1711" s="60">
        <v>1709</v>
      </c>
      <c r="C1711" s="61" t="s">
        <v>4398</v>
      </c>
      <c r="D1711" s="62" t="s">
        <v>4399</v>
      </c>
      <c r="E1711" s="63"/>
    </row>
    <row r="1712" spans="2:5" ht="33.75" customHeight="1">
      <c r="B1712" s="60">
        <v>1710</v>
      </c>
      <c r="C1712" s="61" t="s">
        <v>4400</v>
      </c>
      <c r="D1712" s="62" t="s">
        <v>4401</v>
      </c>
      <c r="E1712" s="63" t="s">
        <v>4402</v>
      </c>
    </row>
    <row r="1713" spans="2:5" ht="33.75" customHeight="1">
      <c r="B1713" s="60">
        <v>1711</v>
      </c>
      <c r="C1713" s="61" t="s">
        <v>4403</v>
      </c>
      <c r="D1713" s="62" t="s">
        <v>4404</v>
      </c>
      <c r="E1713" s="63" t="s">
        <v>4405</v>
      </c>
    </row>
    <row r="1714" spans="2:5" ht="33.75" customHeight="1">
      <c r="B1714" s="60">
        <v>1712</v>
      </c>
      <c r="C1714" s="61" t="s">
        <v>4406</v>
      </c>
      <c r="D1714" s="62" t="s">
        <v>4407</v>
      </c>
      <c r="E1714" s="63" t="s">
        <v>4408</v>
      </c>
    </row>
    <row r="1715" spans="2:5" ht="33.75" customHeight="1">
      <c r="B1715" s="60">
        <v>1713</v>
      </c>
      <c r="C1715" s="61" t="s">
        <v>4409</v>
      </c>
      <c r="D1715" s="62" t="s">
        <v>4410</v>
      </c>
      <c r="E1715" s="63" t="s">
        <v>4411</v>
      </c>
    </row>
    <row r="1716" spans="2:5" ht="33.75" customHeight="1">
      <c r="B1716" s="60">
        <v>1714</v>
      </c>
      <c r="C1716" s="61" t="s">
        <v>4412</v>
      </c>
      <c r="D1716" s="62" t="s">
        <v>4413</v>
      </c>
      <c r="E1716" s="63" t="s">
        <v>4414</v>
      </c>
    </row>
    <row r="1717" spans="2:5" ht="33.75" customHeight="1">
      <c r="B1717" s="60">
        <v>1715</v>
      </c>
      <c r="C1717" s="61" t="s">
        <v>4415</v>
      </c>
      <c r="D1717" s="62" t="s">
        <v>4416</v>
      </c>
      <c r="E1717" s="63"/>
    </row>
    <row r="1718" spans="2:5" ht="33.75" customHeight="1">
      <c r="B1718" s="60">
        <v>1716</v>
      </c>
      <c r="C1718" s="61" t="s">
        <v>4417</v>
      </c>
      <c r="D1718" s="62" t="s">
        <v>4418</v>
      </c>
      <c r="E1718" s="63" t="s">
        <v>4419</v>
      </c>
    </row>
    <row r="1719" spans="2:5" ht="33.75" customHeight="1">
      <c r="B1719" s="60">
        <v>1717</v>
      </c>
      <c r="C1719" s="61" t="s">
        <v>4420</v>
      </c>
      <c r="D1719" s="62" t="s">
        <v>4421</v>
      </c>
      <c r="E1719" s="63"/>
    </row>
    <row r="1720" spans="2:5" ht="33.75" customHeight="1">
      <c r="B1720" s="60">
        <v>1718</v>
      </c>
      <c r="C1720" s="61" t="s">
        <v>4422</v>
      </c>
      <c r="D1720" s="62" t="s">
        <v>4423</v>
      </c>
      <c r="E1720" s="63" t="s">
        <v>4424</v>
      </c>
    </row>
    <row r="1721" spans="2:5" ht="33.75" customHeight="1">
      <c r="B1721" s="60">
        <v>1719</v>
      </c>
      <c r="C1721" s="61" t="s">
        <v>4425</v>
      </c>
      <c r="D1721" s="62" t="s">
        <v>4426</v>
      </c>
      <c r="E1721" s="63" t="s">
        <v>4427</v>
      </c>
    </row>
    <row r="1722" spans="2:5" ht="33.75" customHeight="1">
      <c r="B1722" s="60">
        <v>1720</v>
      </c>
      <c r="C1722" s="61" t="s">
        <v>4428</v>
      </c>
      <c r="D1722" s="62" t="s">
        <v>4429</v>
      </c>
      <c r="E1722" s="63" t="s">
        <v>4430</v>
      </c>
    </row>
    <row r="1723" spans="2:5" ht="33.75" customHeight="1">
      <c r="B1723" s="60">
        <v>1721</v>
      </c>
      <c r="C1723" s="61" t="s">
        <v>4431</v>
      </c>
      <c r="D1723" s="62" t="s">
        <v>4432</v>
      </c>
      <c r="E1723" s="63" t="s">
        <v>4433</v>
      </c>
    </row>
    <row r="1724" spans="2:5" ht="33.75" customHeight="1">
      <c r="B1724" s="60">
        <v>1722</v>
      </c>
      <c r="C1724" s="61" t="s">
        <v>4434</v>
      </c>
      <c r="D1724" s="62" t="s">
        <v>4435</v>
      </c>
      <c r="E1724" s="63" t="s">
        <v>4436</v>
      </c>
    </row>
    <row r="1725" spans="2:5" ht="33.75" customHeight="1">
      <c r="B1725" s="60">
        <v>1723</v>
      </c>
      <c r="C1725" s="61" t="s">
        <v>4437</v>
      </c>
      <c r="D1725" s="62" t="s">
        <v>4438</v>
      </c>
      <c r="E1725" s="63" t="s">
        <v>4439</v>
      </c>
    </row>
    <row r="1726" spans="2:5" ht="33.75" customHeight="1">
      <c r="B1726" s="60">
        <v>1724</v>
      </c>
      <c r="C1726" s="61" t="s">
        <v>4440</v>
      </c>
      <c r="D1726" s="62" t="s">
        <v>4441</v>
      </c>
      <c r="E1726" s="63" t="s">
        <v>4442</v>
      </c>
    </row>
    <row r="1727" spans="2:5" ht="33.75" customHeight="1">
      <c r="B1727" s="60">
        <v>1725</v>
      </c>
      <c r="C1727" s="61" t="s">
        <v>4443</v>
      </c>
      <c r="D1727" s="62" t="s">
        <v>4444</v>
      </c>
      <c r="E1727" s="63"/>
    </row>
    <row r="1728" spans="2:5" ht="33.75" customHeight="1">
      <c r="B1728" s="60">
        <v>1726</v>
      </c>
      <c r="C1728" s="61" t="s">
        <v>4445</v>
      </c>
      <c r="D1728" s="62" t="s">
        <v>4446</v>
      </c>
      <c r="E1728" s="63"/>
    </row>
    <row r="1729" spans="2:5" ht="33.75" customHeight="1">
      <c r="B1729" s="60">
        <v>1727</v>
      </c>
      <c r="C1729" s="61" t="s">
        <v>4447</v>
      </c>
      <c r="D1729" s="62" t="s">
        <v>4448</v>
      </c>
      <c r="E1729" s="63"/>
    </row>
    <row r="1730" spans="2:5" ht="33.75" customHeight="1">
      <c r="B1730" s="60">
        <v>1728</v>
      </c>
      <c r="C1730" s="61" t="s">
        <v>4449</v>
      </c>
      <c r="D1730" s="62" t="s">
        <v>4450</v>
      </c>
      <c r="E1730" s="63" t="s">
        <v>4451</v>
      </c>
    </row>
    <row r="1731" spans="2:5" ht="33.75" customHeight="1">
      <c r="B1731" s="60">
        <v>1729</v>
      </c>
      <c r="C1731" s="61" t="s">
        <v>4452</v>
      </c>
      <c r="D1731" s="62" t="s">
        <v>4453</v>
      </c>
      <c r="E1731" s="63" t="s">
        <v>4454</v>
      </c>
    </row>
    <row r="1732" spans="2:5" ht="33.75" customHeight="1">
      <c r="B1732" s="60">
        <v>1730</v>
      </c>
      <c r="C1732" s="61" t="s">
        <v>4455</v>
      </c>
      <c r="D1732" s="62" t="s">
        <v>4456</v>
      </c>
      <c r="E1732" s="63" t="s">
        <v>4454</v>
      </c>
    </row>
    <row r="1733" spans="2:5" ht="33.75" customHeight="1">
      <c r="B1733" s="60">
        <v>1731</v>
      </c>
      <c r="C1733" s="61" t="s">
        <v>4457</v>
      </c>
      <c r="D1733" s="62" t="s">
        <v>4458</v>
      </c>
      <c r="E1733" s="63" t="s">
        <v>4459</v>
      </c>
    </row>
    <row r="1734" spans="2:5" ht="33.75" customHeight="1">
      <c r="B1734" s="60">
        <v>1732</v>
      </c>
      <c r="C1734" s="61" t="s">
        <v>4460</v>
      </c>
      <c r="D1734" s="62" t="s">
        <v>4461</v>
      </c>
      <c r="E1734" s="63" t="s">
        <v>4462</v>
      </c>
    </row>
    <row r="1735" spans="2:5" ht="33.75" customHeight="1">
      <c r="B1735" s="60">
        <v>1733</v>
      </c>
      <c r="C1735" s="61" t="s">
        <v>4463</v>
      </c>
      <c r="D1735" s="62" t="s">
        <v>4464</v>
      </c>
      <c r="E1735" s="63" t="s">
        <v>4465</v>
      </c>
    </row>
    <row r="1736" spans="2:5" ht="33.75" customHeight="1">
      <c r="B1736" s="60">
        <v>1734</v>
      </c>
      <c r="C1736" s="61" t="s">
        <v>4466</v>
      </c>
      <c r="D1736" s="62" t="s">
        <v>4467</v>
      </c>
      <c r="E1736" s="63" t="s">
        <v>4468</v>
      </c>
    </row>
    <row r="1737" spans="2:5" ht="33.75" customHeight="1">
      <c r="B1737" s="60">
        <v>1735</v>
      </c>
      <c r="C1737" s="61" t="s">
        <v>4469</v>
      </c>
      <c r="D1737" s="62" t="s">
        <v>4470</v>
      </c>
      <c r="E1737" s="63" t="s">
        <v>4471</v>
      </c>
    </row>
    <row r="1738" spans="2:5" ht="33.75" customHeight="1">
      <c r="B1738" s="60">
        <v>1736</v>
      </c>
      <c r="C1738" s="61" t="s">
        <v>4472</v>
      </c>
      <c r="D1738" s="62" t="s">
        <v>4473</v>
      </c>
      <c r="E1738" s="63" t="s">
        <v>4474</v>
      </c>
    </row>
    <row r="1739" spans="2:5" ht="33.75" customHeight="1">
      <c r="B1739" s="60">
        <v>1737</v>
      </c>
      <c r="C1739" s="61" t="s">
        <v>4475</v>
      </c>
      <c r="D1739" s="62" t="s">
        <v>4476</v>
      </c>
      <c r="E1739" s="63" t="s">
        <v>4477</v>
      </c>
    </row>
    <row r="1740" spans="2:5" ht="33.75" customHeight="1">
      <c r="B1740" s="60">
        <v>1738</v>
      </c>
      <c r="C1740" s="61" t="s">
        <v>4478</v>
      </c>
      <c r="D1740" s="62" t="s">
        <v>4479</v>
      </c>
      <c r="E1740" s="63" t="s">
        <v>4480</v>
      </c>
    </row>
    <row r="1741" spans="2:5" ht="33.75" customHeight="1">
      <c r="B1741" s="60">
        <v>1739</v>
      </c>
      <c r="C1741" s="61" t="s">
        <v>4481</v>
      </c>
      <c r="D1741" s="62" t="s">
        <v>4482</v>
      </c>
      <c r="E1741" s="63" t="s">
        <v>4483</v>
      </c>
    </row>
    <row r="1742" spans="2:5" ht="33.75" customHeight="1">
      <c r="B1742" s="60">
        <v>1740</v>
      </c>
      <c r="C1742" s="61" t="s">
        <v>4484</v>
      </c>
      <c r="D1742" s="62" t="s">
        <v>4485</v>
      </c>
      <c r="E1742" s="63" t="s">
        <v>4486</v>
      </c>
    </row>
    <row r="1743" spans="2:5" ht="33.75" customHeight="1">
      <c r="B1743" s="60">
        <v>1741</v>
      </c>
      <c r="C1743" s="61" t="s">
        <v>4487</v>
      </c>
      <c r="D1743" s="62" t="s">
        <v>4488</v>
      </c>
      <c r="E1743" s="63" t="s">
        <v>4489</v>
      </c>
    </row>
    <row r="1744" spans="2:5" ht="33.75" customHeight="1">
      <c r="B1744" s="60">
        <v>1742</v>
      </c>
      <c r="C1744" s="61" t="s">
        <v>4490</v>
      </c>
      <c r="D1744" s="62" t="s">
        <v>4491</v>
      </c>
      <c r="E1744" s="63" t="s">
        <v>4492</v>
      </c>
    </row>
    <row r="1745" spans="2:5" ht="33.75" customHeight="1">
      <c r="B1745" s="60">
        <v>1743</v>
      </c>
      <c r="C1745" s="61" t="s">
        <v>4493</v>
      </c>
      <c r="D1745" s="62" t="s">
        <v>4494</v>
      </c>
      <c r="E1745" s="63" t="s">
        <v>4495</v>
      </c>
    </row>
    <row r="1746" spans="2:5" ht="33.75" customHeight="1">
      <c r="B1746" s="60">
        <v>1744</v>
      </c>
      <c r="C1746" s="61" t="s">
        <v>4496</v>
      </c>
      <c r="D1746" s="62" t="s">
        <v>4497</v>
      </c>
      <c r="E1746" s="63"/>
    </row>
    <row r="1747" spans="2:5" ht="33.75" customHeight="1">
      <c r="B1747" s="60">
        <v>1745</v>
      </c>
      <c r="C1747" s="61" t="s">
        <v>4498</v>
      </c>
      <c r="D1747" s="62" t="s">
        <v>4499</v>
      </c>
      <c r="E1747" s="63"/>
    </row>
    <row r="1748" spans="2:5" ht="33.75" customHeight="1">
      <c r="B1748" s="60">
        <v>1746</v>
      </c>
      <c r="C1748" s="61" t="s">
        <v>4500</v>
      </c>
      <c r="D1748" s="62" t="s">
        <v>4501</v>
      </c>
      <c r="E1748" s="63"/>
    </row>
    <row r="1749" spans="2:5" ht="33.75" customHeight="1">
      <c r="B1749" s="60">
        <v>1747</v>
      </c>
      <c r="C1749" s="61" t="s">
        <v>4502</v>
      </c>
      <c r="D1749" s="62" t="s">
        <v>4503</v>
      </c>
      <c r="E1749" s="63"/>
    </row>
    <row r="1750" spans="2:5" ht="33.75" customHeight="1">
      <c r="B1750" s="60">
        <v>1748</v>
      </c>
      <c r="C1750" s="61" t="s">
        <v>4504</v>
      </c>
      <c r="D1750" s="62" t="s">
        <v>4505</v>
      </c>
      <c r="E1750" s="63" t="s">
        <v>4506</v>
      </c>
    </row>
    <row r="1751" spans="2:5" ht="33.75" customHeight="1">
      <c r="B1751" s="60">
        <v>1749</v>
      </c>
      <c r="C1751" s="61" t="s">
        <v>4507</v>
      </c>
      <c r="D1751" s="62" t="s">
        <v>4508</v>
      </c>
      <c r="E1751" s="63" t="s">
        <v>4509</v>
      </c>
    </row>
    <row r="1752" spans="2:5" ht="33.75" customHeight="1">
      <c r="B1752" s="60">
        <v>1750</v>
      </c>
      <c r="C1752" s="61" t="s">
        <v>4510</v>
      </c>
      <c r="D1752" s="62" t="s">
        <v>4511</v>
      </c>
      <c r="E1752" s="63"/>
    </row>
    <row r="1753" spans="2:5" ht="33.75" customHeight="1">
      <c r="B1753" s="60">
        <v>1751</v>
      </c>
      <c r="C1753" s="61" t="s">
        <v>4512</v>
      </c>
      <c r="D1753" s="62" t="s">
        <v>4513</v>
      </c>
      <c r="E1753" s="63" t="s">
        <v>4514</v>
      </c>
    </row>
    <row r="1754" spans="2:5" ht="33.75" customHeight="1">
      <c r="B1754" s="60">
        <v>1752</v>
      </c>
      <c r="C1754" s="61" t="s">
        <v>4515</v>
      </c>
      <c r="D1754" s="62" t="s">
        <v>4516</v>
      </c>
      <c r="E1754" s="63" t="s">
        <v>4517</v>
      </c>
    </row>
    <row r="1755" spans="2:5" ht="33.75" customHeight="1">
      <c r="B1755" s="60">
        <v>1753</v>
      </c>
      <c r="C1755" s="61" t="s">
        <v>4518</v>
      </c>
      <c r="D1755" s="62" t="s">
        <v>4519</v>
      </c>
      <c r="E1755" s="63"/>
    </row>
    <row r="1756" spans="2:5" ht="33.75" customHeight="1">
      <c r="B1756" s="60">
        <v>1754</v>
      </c>
      <c r="C1756" s="61" t="s">
        <v>4520</v>
      </c>
      <c r="D1756" s="62" t="s">
        <v>4521</v>
      </c>
      <c r="E1756" s="63" t="s">
        <v>4522</v>
      </c>
    </row>
    <row r="1757" spans="2:5" ht="33.75" customHeight="1">
      <c r="B1757" s="60">
        <v>1755</v>
      </c>
      <c r="C1757" s="61" t="s">
        <v>4523</v>
      </c>
      <c r="D1757" s="62" t="s">
        <v>4524</v>
      </c>
      <c r="E1757" s="63"/>
    </row>
    <row r="1758" spans="2:5" ht="33.75" customHeight="1">
      <c r="B1758" s="60">
        <v>1756</v>
      </c>
      <c r="C1758" s="61" t="s">
        <v>4525</v>
      </c>
      <c r="D1758" s="62" t="s">
        <v>4526</v>
      </c>
      <c r="E1758" s="63"/>
    </row>
    <row r="1759" spans="2:5" ht="33.75" customHeight="1">
      <c r="B1759" s="60">
        <v>1757</v>
      </c>
      <c r="C1759" s="61" t="s">
        <v>4527</v>
      </c>
      <c r="D1759" s="62" t="s">
        <v>4528</v>
      </c>
      <c r="E1759" s="63"/>
    </row>
    <row r="1760" spans="2:5" ht="33.75" customHeight="1">
      <c r="B1760" s="60">
        <v>1758</v>
      </c>
      <c r="C1760" s="61" t="s">
        <v>4529</v>
      </c>
      <c r="D1760" s="62" t="s">
        <v>4530</v>
      </c>
      <c r="E1760" s="63" t="s">
        <v>4531</v>
      </c>
    </row>
    <row r="1761" spans="2:5" ht="33.75" customHeight="1">
      <c r="B1761" s="60">
        <v>1759</v>
      </c>
      <c r="C1761" s="61" t="s">
        <v>4532</v>
      </c>
      <c r="D1761" s="62" t="s">
        <v>4533</v>
      </c>
      <c r="E1761" s="63" t="s">
        <v>4534</v>
      </c>
    </row>
    <row r="1762" spans="2:5" ht="33.75" customHeight="1">
      <c r="B1762" s="60">
        <v>1760</v>
      </c>
      <c r="C1762" s="61" t="s">
        <v>4535</v>
      </c>
      <c r="D1762" s="62" t="s">
        <v>4536</v>
      </c>
      <c r="E1762" s="63" t="s">
        <v>4537</v>
      </c>
    </row>
    <row r="1763" spans="2:5" ht="33.75" customHeight="1">
      <c r="B1763" s="60">
        <v>1761</v>
      </c>
      <c r="C1763" s="61" t="s">
        <v>4538</v>
      </c>
      <c r="D1763" s="62" t="s">
        <v>4539</v>
      </c>
      <c r="E1763" s="63"/>
    </row>
    <row r="1764" spans="2:5" ht="33.75" customHeight="1">
      <c r="B1764" s="60">
        <v>1762</v>
      </c>
      <c r="C1764" s="61" t="s">
        <v>4540</v>
      </c>
      <c r="D1764" s="62" t="s">
        <v>4541</v>
      </c>
      <c r="E1764" s="63"/>
    </row>
    <row r="1765" spans="2:5" ht="33.75" customHeight="1">
      <c r="B1765" s="60">
        <v>1763</v>
      </c>
      <c r="C1765" s="61" t="s">
        <v>4542</v>
      </c>
      <c r="D1765" s="62" t="s">
        <v>4543</v>
      </c>
      <c r="E1765" s="63"/>
    </row>
    <row r="1766" spans="2:5" ht="33.75" customHeight="1">
      <c r="B1766" s="60">
        <v>1764</v>
      </c>
      <c r="C1766" s="61" t="s">
        <v>4544</v>
      </c>
      <c r="D1766" s="62" t="s">
        <v>4545</v>
      </c>
      <c r="E1766" s="63"/>
    </row>
    <row r="1767" spans="2:5" ht="33.75" customHeight="1">
      <c r="B1767" s="60">
        <v>1765</v>
      </c>
      <c r="C1767" s="61" t="s">
        <v>4546</v>
      </c>
      <c r="D1767" s="62" t="s">
        <v>4547</v>
      </c>
      <c r="E1767" s="63" t="s">
        <v>4548</v>
      </c>
    </row>
    <row r="1768" spans="2:5" ht="33.75" customHeight="1">
      <c r="B1768" s="60">
        <v>1766</v>
      </c>
      <c r="C1768" s="61" t="s">
        <v>4549</v>
      </c>
      <c r="D1768" s="62" t="s">
        <v>4550</v>
      </c>
      <c r="E1768" s="63"/>
    </row>
    <row r="1769" spans="2:5" ht="33.75" customHeight="1">
      <c r="B1769" s="60">
        <v>1767</v>
      </c>
      <c r="C1769" s="61" t="s">
        <v>4551</v>
      </c>
      <c r="D1769" s="62" t="s">
        <v>4552</v>
      </c>
      <c r="E1769" s="63" t="s">
        <v>4553</v>
      </c>
    </row>
    <row r="1770" spans="2:5" ht="33.75" customHeight="1">
      <c r="B1770" s="60">
        <v>1768</v>
      </c>
      <c r="C1770" s="61" t="s">
        <v>4554</v>
      </c>
      <c r="D1770" s="62" t="s">
        <v>4555</v>
      </c>
      <c r="E1770" s="63"/>
    </row>
    <row r="1771" spans="2:5" ht="33.75" customHeight="1">
      <c r="B1771" s="60">
        <v>1769</v>
      </c>
      <c r="C1771" s="61" t="s">
        <v>4556</v>
      </c>
      <c r="D1771" s="62" t="s">
        <v>4557</v>
      </c>
      <c r="E1771" s="63" t="s">
        <v>4558</v>
      </c>
    </row>
    <row r="1772" spans="2:5" ht="33.75" customHeight="1">
      <c r="B1772" s="60">
        <v>1770</v>
      </c>
      <c r="C1772" s="61" t="s">
        <v>4559</v>
      </c>
      <c r="D1772" s="62" t="s">
        <v>4560</v>
      </c>
      <c r="E1772" s="63"/>
    </row>
    <row r="1773" spans="2:5" ht="33.75" customHeight="1">
      <c r="B1773" s="60">
        <v>1771</v>
      </c>
      <c r="C1773" s="61" t="s">
        <v>4561</v>
      </c>
      <c r="D1773" s="62" t="s">
        <v>4562</v>
      </c>
      <c r="E1773" s="63" t="s">
        <v>4563</v>
      </c>
    </row>
    <row r="1774" spans="2:5" ht="33.75" customHeight="1">
      <c r="B1774" s="60">
        <v>1772</v>
      </c>
      <c r="C1774" s="61" t="s">
        <v>4564</v>
      </c>
      <c r="D1774" s="62" t="s">
        <v>4565</v>
      </c>
      <c r="E1774" s="63"/>
    </row>
    <row r="1775" spans="2:5" ht="33.75" customHeight="1">
      <c r="B1775" s="60">
        <v>1773</v>
      </c>
      <c r="C1775" s="61" t="s">
        <v>4566</v>
      </c>
      <c r="D1775" s="62" t="s">
        <v>4567</v>
      </c>
      <c r="E1775" s="63" t="s">
        <v>4568</v>
      </c>
    </row>
    <row r="1776" spans="2:5" ht="33.75" customHeight="1">
      <c r="B1776" s="60">
        <v>1774</v>
      </c>
      <c r="C1776" s="61" t="s">
        <v>4569</v>
      </c>
      <c r="D1776" s="62" t="s">
        <v>4570</v>
      </c>
      <c r="E1776" s="63"/>
    </row>
    <row r="1777" spans="2:5" ht="33.75" customHeight="1">
      <c r="B1777" s="60">
        <v>1775</v>
      </c>
      <c r="C1777" s="61" t="s">
        <v>4571</v>
      </c>
      <c r="D1777" s="62" t="s">
        <v>4572</v>
      </c>
      <c r="E1777" s="63"/>
    </row>
    <row r="1778" spans="2:5" ht="33.75" customHeight="1">
      <c r="B1778" s="60">
        <v>1776</v>
      </c>
      <c r="C1778" s="61" t="s">
        <v>4573</v>
      </c>
      <c r="D1778" s="62" t="s">
        <v>4574</v>
      </c>
      <c r="E1778" s="63" t="s">
        <v>4575</v>
      </c>
    </row>
    <row r="1779" spans="2:5" ht="33.75" customHeight="1">
      <c r="B1779" s="60">
        <v>1777</v>
      </c>
      <c r="C1779" s="61" t="s">
        <v>4576</v>
      </c>
      <c r="D1779" s="62" t="s">
        <v>4577</v>
      </c>
      <c r="E1779" s="63" t="s">
        <v>4578</v>
      </c>
    </row>
    <row r="1780" spans="2:5" ht="33.75" customHeight="1">
      <c r="B1780" s="60">
        <v>1778</v>
      </c>
      <c r="C1780" s="61" t="s">
        <v>4579</v>
      </c>
      <c r="D1780" s="62" t="s">
        <v>4580</v>
      </c>
      <c r="E1780" s="63"/>
    </row>
    <row r="1781" spans="2:5" ht="33.75" customHeight="1">
      <c r="B1781" s="60">
        <v>1779</v>
      </c>
      <c r="C1781" s="61" t="s">
        <v>4581</v>
      </c>
      <c r="D1781" s="62" t="s">
        <v>4582</v>
      </c>
      <c r="E1781" s="63"/>
    </row>
    <row r="1782" spans="2:5" ht="33.75" customHeight="1">
      <c r="B1782" s="60">
        <v>1780</v>
      </c>
      <c r="C1782" s="61" t="s">
        <v>4583</v>
      </c>
      <c r="D1782" s="62" t="s">
        <v>4584</v>
      </c>
      <c r="E1782" s="63" t="s">
        <v>4585</v>
      </c>
    </row>
    <row r="1783" spans="2:5" ht="33.75" customHeight="1">
      <c r="B1783" s="60">
        <v>1781</v>
      </c>
      <c r="C1783" s="61" t="s">
        <v>4586</v>
      </c>
      <c r="D1783" s="62" t="s">
        <v>4587</v>
      </c>
      <c r="E1783" s="63" t="s">
        <v>4588</v>
      </c>
    </row>
    <row r="1784" spans="2:5" ht="33.75" customHeight="1">
      <c r="B1784" s="60">
        <v>1782</v>
      </c>
      <c r="C1784" s="61" t="s">
        <v>4589</v>
      </c>
      <c r="D1784" s="62" t="s">
        <v>4590</v>
      </c>
      <c r="E1784" s="63" t="s">
        <v>4588</v>
      </c>
    </row>
    <row r="1785" spans="2:5" ht="33.75" customHeight="1">
      <c r="B1785" s="60">
        <v>1783</v>
      </c>
      <c r="C1785" s="61" t="s">
        <v>4591</v>
      </c>
      <c r="D1785" s="62" t="s">
        <v>4592</v>
      </c>
      <c r="E1785" s="63"/>
    </row>
    <row r="1786" spans="2:5" ht="33.75" customHeight="1">
      <c r="B1786" s="60">
        <v>1784</v>
      </c>
      <c r="C1786" s="61" t="s">
        <v>4593</v>
      </c>
      <c r="D1786" s="62" t="s">
        <v>4594</v>
      </c>
      <c r="E1786" s="63"/>
    </row>
    <row r="1787" spans="2:5" ht="33.75" customHeight="1">
      <c r="B1787" s="60">
        <v>1785</v>
      </c>
      <c r="C1787" s="61" t="s">
        <v>4595</v>
      </c>
      <c r="D1787" s="62" t="s">
        <v>4596</v>
      </c>
      <c r="E1787" s="63"/>
    </row>
    <row r="1788" spans="2:5" ht="33.75" customHeight="1">
      <c r="B1788" s="60">
        <v>1786</v>
      </c>
      <c r="C1788" s="61" t="s">
        <v>4597</v>
      </c>
      <c r="D1788" s="62" t="s">
        <v>4598</v>
      </c>
      <c r="E1788" s="63"/>
    </row>
    <row r="1789" spans="2:5" ht="33.75" customHeight="1">
      <c r="B1789" s="60">
        <v>1787</v>
      </c>
      <c r="C1789" s="61" t="s">
        <v>4599</v>
      </c>
      <c r="D1789" s="62" t="s">
        <v>4600</v>
      </c>
      <c r="E1789" s="63" t="s">
        <v>4601</v>
      </c>
    </row>
    <row r="1790" spans="2:5" ht="33.75" customHeight="1">
      <c r="B1790" s="60">
        <v>1788</v>
      </c>
      <c r="C1790" s="61" t="s">
        <v>4602</v>
      </c>
      <c r="D1790" s="62" t="s">
        <v>4603</v>
      </c>
      <c r="E1790" s="63"/>
    </row>
    <row r="1791" spans="2:5" ht="33.75" customHeight="1">
      <c r="B1791" s="60">
        <v>1789</v>
      </c>
      <c r="C1791" s="61" t="s">
        <v>4604</v>
      </c>
      <c r="D1791" s="62" t="s">
        <v>4605</v>
      </c>
      <c r="E1791" s="63"/>
    </row>
    <row r="1792" spans="2:5" ht="33.75" customHeight="1">
      <c r="B1792" s="60">
        <v>1790</v>
      </c>
      <c r="C1792" s="61" t="s">
        <v>4606</v>
      </c>
      <c r="D1792" s="62" t="s">
        <v>4607</v>
      </c>
      <c r="E1792" s="63" t="s">
        <v>4608</v>
      </c>
    </row>
    <row r="1793" spans="2:5" ht="33.75" customHeight="1">
      <c r="B1793" s="60">
        <v>1791</v>
      </c>
      <c r="C1793" s="61" t="s">
        <v>4609</v>
      </c>
      <c r="D1793" s="62" t="s">
        <v>4610</v>
      </c>
      <c r="E1793" s="63"/>
    </row>
    <row r="1794" spans="2:5" ht="33.75" customHeight="1">
      <c r="B1794" s="60">
        <v>1792</v>
      </c>
      <c r="C1794" s="61" t="s">
        <v>4611</v>
      </c>
      <c r="D1794" s="62" t="s">
        <v>4612</v>
      </c>
      <c r="E1794" s="63" t="s">
        <v>4613</v>
      </c>
    </row>
    <row r="1795" spans="2:5" ht="33.75" customHeight="1">
      <c r="B1795" s="60">
        <v>1793</v>
      </c>
      <c r="C1795" s="61" t="s">
        <v>4614</v>
      </c>
      <c r="D1795" s="62" t="s">
        <v>4615</v>
      </c>
      <c r="E1795" s="63"/>
    </row>
    <row r="1796" spans="2:5" ht="33.75" customHeight="1">
      <c r="B1796" s="60">
        <v>1794</v>
      </c>
      <c r="C1796" s="61" t="s">
        <v>4616</v>
      </c>
      <c r="D1796" s="62" t="s">
        <v>4617</v>
      </c>
      <c r="E1796" s="63" t="s">
        <v>4618</v>
      </c>
    </row>
    <row r="1797" spans="2:5" ht="33.75" customHeight="1">
      <c r="B1797" s="60">
        <v>1795</v>
      </c>
      <c r="C1797" s="61" t="s">
        <v>4619</v>
      </c>
      <c r="D1797" s="62" t="s">
        <v>4620</v>
      </c>
      <c r="E1797" s="63"/>
    </row>
    <row r="1798" spans="2:5" ht="33.75" customHeight="1">
      <c r="B1798" s="60">
        <v>1796</v>
      </c>
      <c r="C1798" s="61" t="s">
        <v>4621</v>
      </c>
      <c r="D1798" s="62" t="s">
        <v>4622</v>
      </c>
      <c r="E1798" s="63" t="s">
        <v>4623</v>
      </c>
    </row>
    <row r="1799" spans="2:5" ht="33.75" customHeight="1">
      <c r="B1799" s="60">
        <v>1797</v>
      </c>
      <c r="C1799" s="61" t="s">
        <v>4624</v>
      </c>
      <c r="D1799" s="62" t="s">
        <v>4625</v>
      </c>
      <c r="E1799" s="63"/>
    </row>
    <row r="1800" spans="2:5" ht="33.75" customHeight="1">
      <c r="B1800" s="60">
        <v>1798</v>
      </c>
      <c r="C1800" s="61" t="s">
        <v>4626</v>
      </c>
      <c r="D1800" s="62" t="s">
        <v>4627</v>
      </c>
      <c r="E1800" s="63"/>
    </row>
    <row r="1801" spans="2:5" ht="33.75" customHeight="1">
      <c r="B1801" s="60">
        <v>1799</v>
      </c>
      <c r="C1801" s="61" t="s">
        <v>4628</v>
      </c>
      <c r="D1801" s="62" t="s">
        <v>4629</v>
      </c>
      <c r="E1801" s="63" t="s">
        <v>4630</v>
      </c>
    </row>
    <row r="1802" spans="2:5" ht="33.75" customHeight="1">
      <c r="B1802" s="60">
        <v>1800</v>
      </c>
      <c r="C1802" s="61" t="s">
        <v>4631</v>
      </c>
      <c r="D1802" s="62" t="s">
        <v>4632</v>
      </c>
      <c r="E1802" s="63"/>
    </row>
    <row r="1803" spans="2:5" ht="33.75" customHeight="1">
      <c r="B1803" s="60">
        <v>1801</v>
      </c>
      <c r="C1803" s="61" t="s">
        <v>4633</v>
      </c>
      <c r="D1803" s="62" t="s">
        <v>4634</v>
      </c>
      <c r="E1803" s="63" t="s">
        <v>4635</v>
      </c>
    </row>
    <row r="1804" spans="2:5" ht="33.75" customHeight="1">
      <c r="B1804" s="60">
        <v>1802</v>
      </c>
      <c r="C1804" s="61" t="s">
        <v>4636</v>
      </c>
      <c r="D1804" s="62" t="s">
        <v>4637</v>
      </c>
      <c r="E1804" s="63" t="s">
        <v>4638</v>
      </c>
    </row>
    <row r="1805" spans="2:5" ht="33.75" customHeight="1">
      <c r="B1805" s="60">
        <v>1803</v>
      </c>
      <c r="C1805" s="61" t="s">
        <v>4639</v>
      </c>
      <c r="D1805" s="62" t="s">
        <v>4640</v>
      </c>
      <c r="E1805" s="63" t="s">
        <v>4641</v>
      </c>
    </row>
    <row r="1806" spans="2:5" ht="33.75" customHeight="1">
      <c r="B1806" s="60">
        <v>1804</v>
      </c>
      <c r="C1806" s="61" t="s">
        <v>4642</v>
      </c>
      <c r="D1806" s="62" t="s">
        <v>4643</v>
      </c>
      <c r="E1806" s="63"/>
    </row>
    <row r="1807" spans="2:5" ht="33.75" customHeight="1">
      <c r="B1807" s="60">
        <v>1805</v>
      </c>
      <c r="C1807" s="61" t="s">
        <v>4644</v>
      </c>
      <c r="D1807" s="62" t="s">
        <v>4645</v>
      </c>
      <c r="E1807" s="63"/>
    </row>
    <row r="1808" spans="2:5" ht="33.75" customHeight="1">
      <c r="B1808" s="60">
        <v>1806</v>
      </c>
      <c r="C1808" s="61" t="s">
        <v>4646</v>
      </c>
      <c r="D1808" s="62" t="s">
        <v>4647</v>
      </c>
      <c r="E1808" s="63" t="s">
        <v>4648</v>
      </c>
    </row>
    <row r="1809" spans="2:5" ht="33.75" customHeight="1">
      <c r="B1809" s="60">
        <v>1807</v>
      </c>
      <c r="C1809" s="61" t="s">
        <v>4649</v>
      </c>
      <c r="D1809" s="62" t="s">
        <v>4650</v>
      </c>
      <c r="E1809" s="63"/>
    </row>
    <row r="1810" spans="2:5" ht="33.75" customHeight="1">
      <c r="B1810" s="60">
        <v>1808</v>
      </c>
      <c r="C1810" s="61" t="s">
        <v>4651</v>
      </c>
      <c r="D1810" s="62" t="s">
        <v>4652</v>
      </c>
      <c r="E1810" s="63"/>
    </row>
    <row r="1811" spans="2:5" ht="33.75" customHeight="1">
      <c r="B1811" s="60">
        <v>1809</v>
      </c>
      <c r="C1811" s="61" t="s">
        <v>4653</v>
      </c>
      <c r="D1811" s="62" t="s">
        <v>4654</v>
      </c>
      <c r="E1811" s="63" t="s">
        <v>4655</v>
      </c>
    </row>
    <row r="1812" spans="2:5" ht="33.75" customHeight="1">
      <c r="B1812" s="60">
        <v>1810</v>
      </c>
      <c r="C1812" s="61" t="s">
        <v>4656</v>
      </c>
      <c r="D1812" s="62" t="s">
        <v>4657</v>
      </c>
      <c r="E1812" s="63" t="s">
        <v>4658</v>
      </c>
    </row>
    <row r="1813" spans="2:5" ht="33.75" customHeight="1">
      <c r="B1813" s="60">
        <v>1811</v>
      </c>
      <c r="C1813" s="61" t="s">
        <v>4659</v>
      </c>
      <c r="D1813" s="62" t="s">
        <v>4660</v>
      </c>
      <c r="E1813" s="63" t="s">
        <v>4661</v>
      </c>
    </row>
    <row r="1814" spans="2:5" ht="33.75" customHeight="1">
      <c r="B1814" s="60">
        <v>1812</v>
      </c>
      <c r="C1814" s="61" t="s">
        <v>4662</v>
      </c>
      <c r="D1814" s="62" t="s">
        <v>4663</v>
      </c>
      <c r="E1814" s="63" t="s">
        <v>4664</v>
      </c>
    </row>
    <row r="1815" spans="2:5" ht="33.75" customHeight="1">
      <c r="B1815" s="60">
        <v>1813</v>
      </c>
      <c r="C1815" s="61" t="s">
        <v>4665</v>
      </c>
      <c r="D1815" s="62" t="s">
        <v>4666</v>
      </c>
      <c r="E1815" s="63"/>
    </row>
    <row r="1816" spans="2:5" ht="33.75" customHeight="1">
      <c r="B1816" s="60">
        <v>1814</v>
      </c>
      <c r="C1816" s="61" t="s">
        <v>4667</v>
      </c>
      <c r="D1816" s="62" t="s">
        <v>4668</v>
      </c>
      <c r="E1816" s="63"/>
    </row>
    <row r="1817" spans="2:5" ht="33.75" customHeight="1">
      <c r="B1817" s="60">
        <v>1815</v>
      </c>
      <c r="C1817" s="61" t="s">
        <v>4669</v>
      </c>
      <c r="D1817" s="62" t="s">
        <v>4670</v>
      </c>
      <c r="E1817" s="63"/>
    </row>
    <row r="1818" spans="2:5" ht="33.75" customHeight="1">
      <c r="B1818" s="60">
        <v>1816</v>
      </c>
      <c r="C1818" s="61" t="s">
        <v>4671</v>
      </c>
      <c r="D1818" s="62" t="s">
        <v>4672</v>
      </c>
      <c r="E1818" s="63" t="s">
        <v>4673</v>
      </c>
    </row>
    <row r="1819" spans="2:5" ht="33.75" customHeight="1">
      <c r="B1819" s="60">
        <v>1817</v>
      </c>
      <c r="C1819" s="61" t="s">
        <v>4674</v>
      </c>
      <c r="D1819" s="62" t="s">
        <v>4675</v>
      </c>
      <c r="E1819" s="63" t="s">
        <v>4676</v>
      </c>
    </row>
    <row r="1820" spans="2:5" ht="33.75" customHeight="1">
      <c r="B1820" s="60">
        <v>1818</v>
      </c>
      <c r="C1820" s="61" t="s">
        <v>4677</v>
      </c>
      <c r="D1820" s="62" t="s">
        <v>4678</v>
      </c>
      <c r="E1820" s="63"/>
    </row>
    <row r="1821" spans="2:5" ht="33.75" customHeight="1">
      <c r="B1821" s="60">
        <v>1819</v>
      </c>
      <c r="C1821" s="61" t="s">
        <v>4679</v>
      </c>
      <c r="D1821" s="62" t="s">
        <v>4680</v>
      </c>
      <c r="E1821" s="63" t="s">
        <v>4681</v>
      </c>
    </row>
    <row r="1822" spans="2:5" ht="33.75" customHeight="1">
      <c r="B1822" s="60">
        <v>1820</v>
      </c>
      <c r="C1822" s="61" t="s">
        <v>4682</v>
      </c>
      <c r="D1822" s="62" t="s">
        <v>4683</v>
      </c>
      <c r="E1822" s="63"/>
    </row>
    <row r="1823" spans="2:5" ht="33.75" customHeight="1">
      <c r="B1823" s="60">
        <v>1821</v>
      </c>
      <c r="C1823" s="61" t="s">
        <v>4684</v>
      </c>
      <c r="D1823" s="62" t="s">
        <v>4685</v>
      </c>
      <c r="E1823" s="63"/>
    </row>
    <row r="1824" spans="2:5" ht="33.75" customHeight="1">
      <c r="B1824" s="60">
        <v>1822</v>
      </c>
      <c r="C1824" s="61" t="s">
        <v>4686</v>
      </c>
      <c r="D1824" s="62" t="s">
        <v>4687</v>
      </c>
      <c r="E1824" s="63" t="s">
        <v>4688</v>
      </c>
    </row>
    <row r="1825" spans="2:5" ht="33.75" customHeight="1">
      <c r="B1825" s="60">
        <v>1823</v>
      </c>
      <c r="C1825" s="61" t="s">
        <v>4689</v>
      </c>
      <c r="D1825" s="62" t="s">
        <v>4690</v>
      </c>
      <c r="E1825" s="63"/>
    </row>
    <row r="1826" spans="2:5" ht="33.75" customHeight="1">
      <c r="B1826" s="60">
        <v>1824</v>
      </c>
      <c r="C1826" s="61" t="s">
        <v>4691</v>
      </c>
      <c r="D1826" s="62" t="s">
        <v>4692</v>
      </c>
      <c r="E1826" s="63"/>
    </row>
    <row r="1827" spans="2:5" ht="33.75" customHeight="1">
      <c r="B1827" s="60">
        <v>1825</v>
      </c>
      <c r="C1827" s="61" t="s">
        <v>4693</v>
      </c>
      <c r="D1827" s="62" t="s">
        <v>4694</v>
      </c>
      <c r="E1827" s="63" t="s">
        <v>4695</v>
      </c>
    </row>
    <row r="1828" spans="2:5" ht="33.75" customHeight="1">
      <c r="B1828" s="60">
        <v>1826</v>
      </c>
      <c r="C1828" s="61" t="s">
        <v>4696</v>
      </c>
      <c r="D1828" s="62" t="s">
        <v>4697</v>
      </c>
      <c r="E1828" s="63" t="s">
        <v>4698</v>
      </c>
    </row>
    <row r="1829" spans="2:5" ht="33.75" customHeight="1">
      <c r="B1829" s="60">
        <v>1827</v>
      </c>
      <c r="C1829" s="61" t="s">
        <v>4699</v>
      </c>
      <c r="D1829" s="62" t="s">
        <v>4700</v>
      </c>
      <c r="E1829" s="63" t="s">
        <v>4701</v>
      </c>
    </row>
    <row r="1830" spans="2:5" ht="33.75" customHeight="1">
      <c r="B1830" s="60">
        <v>1828</v>
      </c>
      <c r="C1830" s="61" t="s">
        <v>4702</v>
      </c>
      <c r="D1830" s="62" t="s">
        <v>4703</v>
      </c>
      <c r="E1830" s="63"/>
    </row>
    <row r="1831" spans="2:5" ht="33.75" customHeight="1">
      <c r="B1831" s="60">
        <v>1829</v>
      </c>
      <c r="C1831" s="61" t="s">
        <v>4704</v>
      </c>
      <c r="D1831" s="62" t="s">
        <v>4705</v>
      </c>
      <c r="E1831" s="63"/>
    </row>
    <row r="1832" spans="2:5" ht="33.75" customHeight="1">
      <c r="B1832" s="60">
        <v>1830</v>
      </c>
      <c r="C1832" s="61" t="s">
        <v>4706</v>
      </c>
      <c r="D1832" s="62" t="s">
        <v>4707</v>
      </c>
      <c r="E1832" s="63"/>
    </row>
    <row r="1833" spans="2:5" ht="33.75" customHeight="1">
      <c r="B1833" s="60">
        <v>1831</v>
      </c>
      <c r="C1833" s="61" t="s">
        <v>4708</v>
      </c>
      <c r="D1833" s="62" t="s">
        <v>4709</v>
      </c>
      <c r="E1833" s="63" t="s">
        <v>4710</v>
      </c>
    </row>
    <row r="1834" spans="2:5" ht="33.75" customHeight="1">
      <c r="B1834" s="60">
        <v>1832</v>
      </c>
      <c r="C1834" s="61" t="s">
        <v>4711</v>
      </c>
      <c r="D1834" s="62" t="s">
        <v>4712</v>
      </c>
      <c r="E1834" s="63"/>
    </row>
    <row r="1835" spans="2:5" ht="33.75" customHeight="1">
      <c r="B1835" s="60">
        <v>1833</v>
      </c>
      <c r="C1835" s="61" t="s">
        <v>4713</v>
      </c>
      <c r="D1835" s="62" t="s">
        <v>4714</v>
      </c>
      <c r="E1835" s="63" t="s">
        <v>4715</v>
      </c>
    </row>
    <row r="1836" spans="2:5" ht="33.75" customHeight="1">
      <c r="B1836" s="60">
        <v>1834</v>
      </c>
      <c r="C1836" s="61" t="s">
        <v>4716</v>
      </c>
      <c r="D1836" s="62" t="s">
        <v>4717</v>
      </c>
      <c r="E1836" s="63"/>
    </row>
    <row r="1837" spans="2:5" ht="33.75" customHeight="1">
      <c r="B1837" s="60">
        <v>1835</v>
      </c>
      <c r="C1837" s="61" t="s">
        <v>4718</v>
      </c>
      <c r="D1837" s="62" t="s">
        <v>4719</v>
      </c>
      <c r="E1837" s="63" t="s">
        <v>4720</v>
      </c>
    </row>
    <row r="1838" spans="2:5" ht="33.75" customHeight="1">
      <c r="B1838" s="60">
        <v>1836</v>
      </c>
      <c r="C1838" s="61" t="s">
        <v>4721</v>
      </c>
      <c r="D1838" s="62" t="s">
        <v>4722</v>
      </c>
      <c r="E1838" s="63" t="s">
        <v>4723</v>
      </c>
    </row>
    <row r="1839" spans="2:5" ht="33.75" customHeight="1">
      <c r="B1839" s="60">
        <v>1837</v>
      </c>
      <c r="C1839" s="61" t="s">
        <v>4724</v>
      </c>
      <c r="D1839" s="62" t="s">
        <v>4725</v>
      </c>
      <c r="E1839" s="63" t="s">
        <v>4726</v>
      </c>
    </row>
    <row r="1840" spans="2:5" ht="33.75" customHeight="1">
      <c r="B1840" s="60">
        <v>1838</v>
      </c>
      <c r="C1840" s="61" t="s">
        <v>4727</v>
      </c>
      <c r="D1840" s="62" t="s">
        <v>4728</v>
      </c>
      <c r="E1840" s="63"/>
    </row>
    <row r="1841" spans="2:5" ht="33.75" customHeight="1">
      <c r="B1841" s="60">
        <v>1839</v>
      </c>
      <c r="C1841" s="61" t="s">
        <v>4729</v>
      </c>
      <c r="D1841" s="62" t="s">
        <v>4730</v>
      </c>
      <c r="E1841" s="63"/>
    </row>
    <row r="1842" spans="2:5" ht="33.75" customHeight="1">
      <c r="B1842" s="60">
        <v>1840</v>
      </c>
      <c r="C1842" s="61" t="s">
        <v>4731</v>
      </c>
      <c r="D1842" s="62" t="s">
        <v>4732</v>
      </c>
      <c r="E1842" s="63"/>
    </row>
    <row r="1843" spans="2:5" ht="33.75" customHeight="1">
      <c r="B1843" s="60">
        <v>1841</v>
      </c>
      <c r="C1843" s="61" t="s">
        <v>4733</v>
      </c>
      <c r="D1843" s="62" t="s">
        <v>4734</v>
      </c>
      <c r="E1843" s="63" t="s">
        <v>4735</v>
      </c>
    </row>
    <row r="1844" spans="2:5" ht="33.75" customHeight="1">
      <c r="B1844" s="60">
        <v>1842</v>
      </c>
      <c r="C1844" s="61" t="s">
        <v>4736</v>
      </c>
      <c r="D1844" s="62" t="s">
        <v>4737</v>
      </c>
      <c r="E1844" s="63" t="s">
        <v>4738</v>
      </c>
    </row>
    <row r="1845" spans="2:5" ht="33.75" customHeight="1">
      <c r="B1845" s="60">
        <v>1843</v>
      </c>
      <c r="C1845" s="61" t="s">
        <v>4739</v>
      </c>
      <c r="D1845" s="62" t="s">
        <v>4740</v>
      </c>
      <c r="E1845" s="63"/>
    </row>
    <row r="1846" spans="2:5" ht="33.75" customHeight="1">
      <c r="B1846" s="60">
        <v>1844</v>
      </c>
      <c r="C1846" s="61" t="s">
        <v>4741</v>
      </c>
      <c r="D1846" s="62" t="s">
        <v>4742</v>
      </c>
      <c r="E1846" s="63"/>
    </row>
    <row r="1847" spans="2:5" ht="33.75" customHeight="1">
      <c r="B1847" s="60">
        <v>1845</v>
      </c>
      <c r="C1847" s="61" t="s">
        <v>4743</v>
      </c>
      <c r="D1847" s="62" t="s">
        <v>4744</v>
      </c>
      <c r="E1847" s="63" t="s">
        <v>4745</v>
      </c>
    </row>
    <row r="1848" spans="2:5" ht="33.75" customHeight="1">
      <c r="B1848" s="60">
        <v>1846</v>
      </c>
      <c r="C1848" s="61" t="s">
        <v>4746</v>
      </c>
      <c r="D1848" s="62" t="s">
        <v>4747</v>
      </c>
      <c r="E1848" s="63" t="s">
        <v>4748</v>
      </c>
    </row>
    <row r="1849" spans="2:5" ht="33.75" customHeight="1">
      <c r="B1849" s="60">
        <v>1847</v>
      </c>
      <c r="C1849" s="61" t="s">
        <v>4749</v>
      </c>
      <c r="D1849" s="62" t="s">
        <v>4750</v>
      </c>
      <c r="E1849" s="63"/>
    </row>
    <row r="1850" spans="2:5" ht="33.75" customHeight="1">
      <c r="B1850" s="60">
        <v>1848</v>
      </c>
      <c r="C1850" s="61" t="s">
        <v>4751</v>
      </c>
      <c r="D1850" s="62" t="s">
        <v>4752</v>
      </c>
      <c r="E1850" s="63"/>
    </row>
    <row r="1851" spans="2:5" ht="33.75" customHeight="1">
      <c r="B1851" s="60">
        <v>1849</v>
      </c>
      <c r="C1851" s="61" t="s">
        <v>4753</v>
      </c>
      <c r="D1851" s="62" t="s">
        <v>4754</v>
      </c>
      <c r="E1851" s="63" t="s">
        <v>4755</v>
      </c>
    </row>
    <row r="1852" spans="2:5" ht="33.75" customHeight="1">
      <c r="B1852" s="60">
        <v>1850</v>
      </c>
      <c r="C1852" s="61" t="s">
        <v>4756</v>
      </c>
      <c r="D1852" s="62" t="s">
        <v>4757</v>
      </c>
      <c r="E1852" s="63" t="s">
        <v>4758</v>
      </c>
    </row>
    <row r="1853" spans="2:5" ht="33.75" customHeight="1">
      <c r="B1853" s="60">
        <v>1851</v>
      </c>
      <c r="C1853" s="61" t="s">
        <v>4759</v>
      </c>
      <c r="D1853" s="62" t="s">
        <v>4760</v>
      </c>
      <c r="E1853" s="63"/>
    </row>
    <row r="1854" spans="2:5" ht="33.75" customHeight="1">
      <c r="B1854" s="60">
        <v>1852</v>
      </c>
      <c r="C1854" s="61" t="s">
        <v>4761</v>
      </c>
      <c r="D1854" s="62" t="s">
        <v>4762</v>
      </c>
      <c r="E1854" s="63"/>
    </row>
    <row r="1855" spans="2:5" ht="33.75" customHeight="1">
      <c r="B1855" s="60">
        <v>1853</v>
      </c>
      <c r="C1855" s="61" t="s">
        <v>4763</v>
      </c>
      <c r="D1855" s="62" t="s">
        <v>4764</v>
      </c>
      <c r="E1855" s="63" t="s">
        <v>4765</v>
      </c>
    </row>
    <row r="1856" spans="2:5" ht="33.75" customHeight="1">
      <c r="B1856" s="60">
        <v>1854</v>
      </c>
      <c r="C1856" s="61" t="s">
        <v>4766</v>
      </c>
      <c r="D1856" s="62" t="s">
        <v>4767</v>
      </c>
      <c r="E1856" s="63" t="s">
        <v>4768</v>
      </c>
    </row>
    <row r="1857" spans="2:5" ht="33.75" customHeight="1">
      <c r="B1857" s="60">
        <v>1855</v>
      </c>
      <c r="C1857" s="61" t="s">
        <v>4769</v>
      </c>
      <c r="D1857" s="62" t="s">
        <v>4770</v>
      </c>
      <c r="E1857" s="63" t="s">
        <v>4771</v>
      </c>
    </row>
    <row r="1858" spans="2:5" ht="33.75" customHeight="1">
      <c r="B1858" s="60">
        <v>1856</v>
      </c>
      <c r="C1858" s="61" t="s">
        <v>4772</v>
      </c>
      <c r="D1858" s="62" t="s">
        <v>4773</v>
      </c>
      <c r="E1858" s="63" t="s">
        <v>4774</v>
      </c>
    </row>
    <row r="1859" spans="2:5" ht="33.75" customHeight="1">
      <c r="B1859" s="60">
        <v>1857</v>
      </c>
      <c r="C1859" s="61" t="s">
        <v>4775</v>
      </c>
      <c r="D1859" s="62" t="s">
        <v>4776</v>
      </c>
      <c r="E1859" s="63" t="s">
        <v>4777</v>
      </c>
    </row>
    <row r="1860" spans="2:5" ht="33.75" customHeight="1">
      <c r="B1860" s="60">
        <v>1858</v>
      </c>
      <c r="C1860" s="61" t="s">
        <v>4778</v>
      </c>
      <c r="D1860" s="62" t="s">
        <v>4779</v>
      </c>
      <c r="E1860" s="63" t="s">
        <v>4780</v>
      </c>
    </row>
    <row r="1861" spans="2:5" ht="33.75" customHeight="1">
      <c r="B1861" s="60">
        <v>1859</v>
      </c>
      <c r="C1861" s="61" t="s">
        <v>4781</v>
      </c>
      <c r="D1861" s="62" t="s">
        <v>4782</v>
      </c>
      <c r="E1861" s="63" t="s">
        <v>4783</v>
      </c>
    </row>
    <row r="1862" spans="2:5" ht="33.75" customHeight="1">
      <c r="B1862" s="60">
        <v>1860</v>
      </c>
      <c r="C1862" s="61" t="s">
        <v>4784</v>
      </c>
      <c r="D1862" s="62" t="s">
        <v>4785</v>
      </c>
      <c r="E1862" s="63" t="s">
        <v>4786</v>
      </c>
    </row>
    <row r="1863" spans="2:5" ht="33.75" customHeight="1">
      <c r="B1863" s="60">
        <v>1861</v>
      </c>
      <c r="C1863" s="61" t="s">
        <v>4787</v>
      </c>
      <c r="D1863" s="62" t="s">
        <v>4788</v>
      </c>
      <c r="E1863" s="63" t="s">
        <v>4789</v>
      </c>
    </row>
    <row r="1864" spans="2:5" ht="33.75" customHeight="1">
      <c r="B1864" s="60">
        <v>1862</v>
      </c>
      <c r="C1864" s="61" t="s">
        <v>4790</v>
      </c>
      <c r="D1864" s="62" t="s">
        <v>4791</v>
      </c>
      <c r="E1864" s="63" t="s">
        <v>4792</v>
      </c>
    </row>
    <row r="1865" spans="2:5" ht="33.75" customHeight="1">
      <c r="B1865" s="60">
        <v>1863</v>
      </c>
      <c r="C1865" s="61" t="s">
        <v>4793</v>
      </c>
      <c r="D1865" s="62" t="s">
        <v>4794</v>
      </c>
      <c r="E1865" s="63" t="s">
        <v>4795</v>
      </c>
    </row>
    <row r="1866" spans="2:5" ht="33.75" customHeight="1">
      <c r="B1866" s="60">
        <v>1864</v>
      </c>
      <c r="C1866" s="61" t="s">
        <v>4796</v>
      </c>
      <c r="D1866" s="62" t="s">
        <v>4797</v>
      </c>
      <c r="E1866" s="63" t="s">
        <v>4798</v>
      </c>
    </row>
    <row r="1867" spans="2:5" ht="33.75" customHeight="1">
      <c r="B1867" s="60">
        <v>1865</v>
      </c>
      <c r="C1867" s="61" t="s">
        <v>4799</v>
      </c>
      <c r="D1867" s="62" t="s">
        <v>4800</v>
      </c>
      <c r="E1867" s="63" t="s">
        <v>4801</v>
      </c>
    </row>
    <row r="1868" spans="2:5" ht="33.75" customHeight="1">
      <c r="B1868" s="60">
        <v>1866</v>
      </c>
      <c r="C1868" s="61" t="s">
        <v>4802</v>
      </c>
      <c r="D1868" s="62" t="s">
        <v>4803</v>
      </c>
      <c r="E1868" s="63" t="s">
        <v>4804</v>
      </c>
    </row>
    <row r="1869" spans="2:5" ht="33.75" customHeight="1">
      <c r="B1869" s="60">
        <v>1867</v>
      </c>
      <c r="C1869" s="61" t="s">
        <v>4805</v>
      </c>
      <c r="D1869" s="62" t="s">
        <v>4806</v>
      </c>
      <c r="E1869" s="63"/>
    </row>
    <row r="1870" spans="2:5" ht="33.75" customHeight="1">
      <c r="B1870" s="60">
        <v>1868</v>
      </c>
      <c r="C1870" s="61" t="s">
        <v>4807</v>
      </c>
      <c r="D1870" s="62" t="s">
        <v>4808</v>
      </c>
      <c r="E1870" s="63"/>
    </row>
    <row r="1871" spans="2:5" ht="33.75" customHeight="1">
      <c r="B1871" s="60">
        <v>1869</v>
      </c>
      <c r="C1871" s="61" t="s">
        <v>4809</v>
      </c>
      <c r="D1871" s="62" t="s">
        <v>4810</v>
      </c>
      <c r="E1871" s="63" t="s">
        <v>4811</v>
      </c>
    </row>
    <row r="1872" spans="2:5" ht="33.75" customHeight="1">
      <c r="B1872" s="60">
        <v>1870</v>
      </c>
      <c r="C1872" s="61" t="s">
        <v>4812</v>
      </c>
      <c r="D1872" s="62" t="s">
        <v>4813</v>
      </c>
      <c r="E1872" s="63"/>
    </row>
    <row r="1873" spans="2:5" ht="33.75" customHeight="1">
      <c r="B1873" s="60">
        <v>1871</v>
      </c>
      <c r="C1873" s="61" t="s">
        <v>4814</v>
      </c>
      <c r="D1873" s="62" t="s">
        <v>4815</v>
      </c>
      <c r="E1873" s="63"/>
    </row>
    <row r="1874" spans="2:5" ht="33.75" customHeight="1">
      <c r="B1874" s="60">
        <v>1872</v>
      </c>
      <c r="C1874" s="61" t="s">
        <v>4816</v>
      </c>
      <c r="D1874" s="62" t="s">
        <v>4817</v>
      </c>
      <c r="E1874" s="63" t="s">
        <v>4818</v>
      </c>
    </row>
    <row r="1875" spans="2:5" ht="33.75" customHeight="1">
      <c r="B1875" s="60">
        <v>1873</v>
      </c>
      <c r="C1875" s="61" t="s">
        <v>4819</v>
      </c>
      <c r="D1875" s="62" t="s">
        <v>4820</v>
      </c>
      <c r="E1875" s="63"/>
    </row>
    <row r="1876" spans="2:5" ht="33.75" customHeight="1">
      <c r="B1876" s="60">
        <v>1874</v>
      </c>
      <c r="C1876" s="61" t="s">
        <v>4821</v>
      </c>
      <c r="D1876" s="62" t="s">
        <v>4822</v>
      </c>
      <c r="E1876" s="63"/>
    </row>
    <row r="1877" spans="2:5" ht="33.75" customHeight="1">
      <c r="B1877" s="60">
        <v>1875</v>
      </c>
      <c r="C1877" s="61" t="s">
        <v>4823</v>
      </c>
      <c r="D1877" s="62" t="s">
        <v>4824</v>
      </c>
      <c r="E1877" s="63" t="s">
        <v>4825</v>
      </c>
    </row>
    <row r="1878" spans="2:5" ht="33.75" customHeight="1">
      <c r="B1878" s="60">
        <v>1876</v>
      </c>
      <c r="C1878" s="61" t="s">
        <v>4826</v>
      </c>
      <c r="D1878" s="62" t="s">
        <v>4827</v>
      </c>
      <c r="E1878" s="63"/>
    </row>
    <row r="1879" spans="2:5" ht="33.75" customHeight="1">
      <c r="B1879" s="60">
        <v>1877</v>
      </c>
      <c r="C1879" s="61" t="s">
        <v>4828</v>
      </c>
      <c r="D1879" s="62" t="s">
        <v>4829</v>
      </c>
      <c r="E1879" s="63"/>
    </row>
    <row r="1880" spans="2:5" ht="33.75" customHeight="1">
      <c r="B1880" s="60">
        <v>1878</v>
      </c>
      <c r="C1880" s="61" t="s">
        <v>4830</v>
      </c>
      <c r="D1880" s="62" t="s">
        <v>4831</v>
      </c>
      <c r="E1880" s="63" t="s">
        <v>4832</v>
      </c>
    </row>
    <row r="1881" spans="2:5" ht="33.75" customHeight="1">
      <c r="B1881" s="60">
        <v>1879</v>
      </c>
      <c r="C1881" s="61" t="s">
        <v>4833</v>
      </c>
      <c r="D1881" s="62" t="s">
        <v>4834</v>
      </c>
      <c r="E1881" s="63"/>
    </row>
    <row r="1882" spans="2:5" ht="33.75" customHeight="1">
      <c r="B1882" s="60">
        <v>1880</v>
      </c>
      <c r="C1882" s="61" t="s">
        <v>4835</v>
      </c>
      <c r="D1882" s="62" t="s">
        <v>4836</v>
      </c>
      <c r="E1882" s="63"/>
    </row>
    <row r="1883" spans="2:5" ht="33.75" customHeight="1">
      <c r="B1883" s="60">
        <v>1881</v>
      </c>
      <c r="C1883" s="61" t="s">
        <v>4837</v>
      </c>
      <c r="D1883" s="62" t="s">
        <v>4838</v>
      </c>
      <c r="E1883" s="63" t="s">
        <v>4839</v>
      </c>
    </row>
    <row r="1884" spans="2:5" ht="33.75" customHeight="1">
      <c r="B1884" s="60">
        <v>1882</v>
      </c>
      <c r="C1884" s="61" t="s">
        <v>4840</v>
      </c>
      <c r="D1884" s="62" t="s">
        <v>4841</v>
      </c>
      <c r="E1884" s="63"/>
    </row>
    <row r="1885" spans="2:5" ht="33.75" customHeight="1">
      <c r="B1885" s="60">
        <v>1883</v>
      </c>
      <c r="C1885" s="61" t="s">
        <v>4842</v>
      </c>
      <c r="D1885" s="62" t="s">
        <v>4843</v>
      </c>
      <c r="E1885" s="63"/>
    </row>
    <row r="1886" spans="2:5" ht="33.75" customHeight="1">
      <c r="B1886" s="60">
        <v>1884</v>
      </c>
      <c r="C1886" s="61" t="s">
        <v>4844</v>
      </c>
      <c r="D1886" s="62" t="s">
        <v>4845</v>
      </c>
      <c r="E1886" s="63" t="s">
        <v>4846</v>
      </c>
    </row>
    <row r="1887" spans="2:5" ht="33.75" customHeight="1">
      <c r="B1887" s="60">
        <v>1885</v>
      </c>
      <c r="C1887" s="61" t="s">
        <v>4847</v>
      </c>
      <c r="D1887" s="62" t="s">
        <v>4848</v>
      </c>
      <c r="E1887" s="63"/>
    </row>
    <row r="1888" spans="2:5" ht="33.75" customHeight="1">
      <c r="B1888" s="60">
        <v>1886</v>
      </c>
      <c r="C1888" s="61" t="s">
        <v>4849</v>
      </c>
      <c r="D1888" s="62" t="s">
        <v>4850</v>
      </c>
      <c r="E1888" s="63"/>
    </row>
    <row r="1889" spans="2:5" ht="33.75" customHeight="1">
      <c r="B1889" s="60">
        <v>1887</v>
      </c>
      <c r="C1889" s="61" t="s">
        <v>4851</v>
      </c>
      <c r="D1889" s="62" t="s">
        <v>4852</v>
      </c>
      <c r="E1889" s="63" t="s">
        <v>4853</v>
      </c>
    </row>
    <row r="1890" spans="2:5" ht="33.75" customHeight="1">
      <c r="B1890" s="60">
        <v>1888</v>
      </c>
      <c r="C1890" s="61" t="s">
        <v>4854</v>
      </c>
      <c r="D1890" s="62" t="s">
        <v>4855</v>
      </c>
      <c r="E1890" s="63" t="s">
        <v>4855</v>
      </c>
    </row>
    <row r="1891" spans="2:5" ht="33.75" customHeight="1">
      <c r="B1891" s="60">
        <v>1889</v>
      </c>
      <c r="C1891" s="61" t="s">
        <v>4856</v>
      </c>
      <c r="D1891" s="62" t="s">
        <v>4857</v>
      </c>
      <c r="E1891" s="63" t="s">
        <v>4857</v>
      </c>
    </row>
    <row r="1892" spans="2:5" ht="33.75" customHeight="1">
      <c r="B1892" s="60">
        <v>1890</v>
      </c>
      <c r="C1892" s="61" t="s">
        <v>4858</v>
      </c>
      <c r="D1892" s="62" t="s">
        <v>4859</v>
      </c>
      <c r="E1892" s="63" t="s">
        <v>4860</v>
      </c>
    </row>
    <row r="1893" spans="2:5" ht="33.75" customHeight="1">
      <c r="B1893" s="60">
        <v>1891</v>
      </c>
      <c r="C1893" s="61" t="s">
        <v>4861</v>
      </c>
      <c r="D1893" s="62" t="s">
        <v>4862</v>
      </c>
      <c r="E1893" s="63" t="s">
        <v>4863</v>
      </c>
    </row>
    <row r="1894" spans="2:5" ht="33.75" customHeight="1">
      <c r="B1894" s="60">
        <v>1892</v>
      </c>
      <c r="C1894" s="61" t="s">
        <v>4864</v>
      </c>
      <c r="D1894" s="62" t="s">
        <v>4865</v>
      </c>
      <c r="E1894" s="63" t="s">
        <v>4866</v>
      </c>
    </row>
    <row r="1895" spans="2:5" ht="33.75" customHeight="1">
      <c r="B1895" s="60">
        <v>1893</v>
      </c>
      <c r="C1895" s="61" t="s">
        <v>4867</v>
      </c>
      <c r="D1895" s="62" t="s">
        <v>4868</v>
      </c>
      <c r="E1895" s="63" t="s">
        <v>4869</v>
      </c>
    </row>
    <row r="1896" spans="2:5" ht="33.75" customHeight="1">
      <c r="B1896" s="60">
        <v>1894</v>
      </c>
      <c r="C1896" s="61" t="s">
        <v>4870</v>
      </c>
      <c r="D1896" s="62" t="s">
        <v>4871</v>
      </c>
      <c r="E1896" s="63"/>
    </row>
    <row r="1897" spans="2:5" ht="33.75" customHeight="1">
      <c r="B1897" s="60">
        <v>1895</v>
      </c>
      <c r="C1897" s="61" t="s">
        <v>4872</v>
      </c>
      <c r="D1897" s="62" t="s">
        <v>4873</v>
      </c>
      <c r="E1897" s="63" t="s">
        <v>4874</v>
      </c>
    </row>
    <row r="1898" spans="2:5" ht="33.75" customHeight="1">
      <c r="B1898" s="60">
        <v>1896</v>
      </c>
      <c r="C1898" s="61" t="s">
        <v>4875</v>
      </c>
      <c r="D1898" s="62" t="s">
        <v>4876</v>
      </c>
      <c r="E1898" s="63" t="s">
        <v>4877</v>
      </c>
    </row>
    <row r="1899" spans="2:5" ht="33.75" customHeight="1">
      <c r="B1899" s="60">
        <v>1897</v>
      </c>
      <c r="C1899" s="61" t="s">
        <v>4878</v>
      </c>
      <c r="D1899" s="62" t="s">
        <v>4879</v>
      </c>
      <c r="E1899" s="63"/>
    </row>
    <row r="1900" spans="2:5" ht="33.75" customHeight="1">
      <c r="B1900" s="60">
        <v>1898</v>
      </c>
      <c r="C1900" s="61" t="s">
        <v>4880</v>
      </c>
      <c r="D1900" s="62" t="s">
        <v>4881</v>
      </c>
      <c r="E1900" s="63" t="s">
        <v>4882</v>
      </c>
    </row>
    <row r="1901" spans="2:5" ht="33.75" customHeight="1">
      <c r="B1901" s="60">
        <v>1899</v>
      </c>
      <c r="C1901" s="61" t="s">
        <v>4883</v>
      </c>
      <c r="D1901" s="62" t="s">
        <v>4884</v>
      </c>
      <c r="E1901" s="63" t="s">
        <v>4885</v>
      </c>
    </row>
    <row r="1902" spans="2:5" ht="33.75" customHeight="1">
      <c r="B1902" s="60">
        <v>1900</v>
      </c>
      <c r="C1902" s="61" t="s">
        <v>4886</v>
      </c>
      <c r="D1902" s="62" t="s">
        <v>4887</v>
      </c>
      <c r="E1902" s="63"/>
    </row>
    <row r="1903" spans="2:5" ht="33.75" customHeight="1">
      <c r="B1903" s="60">
        <v>1901</v>
      </c>
      <c r="C1903" s="61" t="s">
        <v>4888</v>
      </c>
      <c r="D1903" s="62" t="s">
        <v>4889</v>
      </c>
      <c r="E1903" s="63" t="s">
        <v>4890</v>
      </c>
    </row>
    <row r="1904" spans="2:5" ht="33.75" customHeight="1">
      <c r="B1904" s="60">
        <v>1902</v>
      </c>
      <c r="C1904" s="61" t="s">
        <v>4891</v>
      </c>
      <c r="D1904" s="62" t="s">
        <v>4892</v>
      </c>
      <c r="E1904" s="63" t="s">
        <v>4893</v>
      </c>
    </row>
    <row r="1905" spans="2:5" ht="33.75" customHeight="1">
      <c r="B1905" s="60">
        <v>1903</v>
      </c>
      <c r="C1905" s="61" t="s">
        <v>4894</v>
      </c>
      <c r="D1905" s="62" t="s">
        <v>4895</v>
      </c>
      <c r="E1905" s="63" t="s">
        <v>4896</v>
      </c>
    </row>
    <row r="1906" spans="2:5" ht="33.75" customHeight="1">
      <c r="B1906" s="60">
        <v>1904</v>
      </c>
      <c r="C1906" s="61" t="s">
        <v>4897</v>
      </c>
      <c r="D1906" s="62" t="s">
        <v>4898</v>
      </c>
      <c r="E1906" s="63" t="s">
        <v>4899</v>
      </c>
    </row>
    <row r="1907" spans="2:5" ht="33.75" customHeight="1">
      <c r="B1907" s="60">
        <v>1905</v>
      </c>
      <c r="C1907" s="61" t="s">
        <v>4900</v>
      </c>
      <c r="D1907" s="62" t="s">
        <v>4901</v>
      </c>
      <c r="E1907" s="63" t="s">
        <v>4902</v>
      </c>
    </row>
    <row r="1908" spans="2:5" ht="33.75" customHeight="1">
      <c r="B1908" s="60">
        <v>1906</v>
      </c>
      <c r="C1908" s="61" t="s">
        <v>4903</v>
      </c>
      <c r="D1908" s="62" t="s">
        <v>4904</v>
      </c>
      <c r="E1908" s="63" t="s">
        <v>4905</v>
      </c>
    </row>
    <row r="1909" spans="2:5" ht="33.75" customHeight="1">
      <c r="B1909" s="60">
        <v>1907</v>
      </c>
      <c r="C1909" s="61" t="s">
        <v>4906</v>
      </c>
      <c r="D1909" s="62" t="s">
        <v>4907</v>
      </c>
      <c r="E1909" s="63" t="s">
        <v>4908</v>
      </c>
    </row>
    <row r="1910" spans="2:5" ht="33.75" customHeight="1">
      <c r="B1910" s="60">
        <v>1908</v>
      </c>
      <c r="C1910" s="61" t="s">
        <v>4909</v>
      </c>
      <c r="D1910" s="62" t="s">
        <v>4910</v>
      </c>
      <c r="E1910" s="63" t="s">
        <v>4911</v>
      </c>
    </row>
    <row r="1911" spans="2:5" ht="33.75" customHeight="1">
      <c r="B1911" s="60">
        <v>1909</v>
      </c>
      <c r="C1911" s="61" t="s">
        <v>4912</v>
      </c>
      <c r="D1911" s="62" t="s">
        <v>4913</v>
      </c>
      <c r="E1911" s="63" t="s">
        <v>4914</v>
      </c>
    </row>
    <row r="1912" spans="2:5" ht="33.75" customHeight="1">
      <c r="B1912" s="60">
        <v>1910</v>
      </c>
      <c r="C1912" s="61" t="s">
        <v>4915</v>
      </c>
      <c r="D1912" s="62" t="s">
        <v>4916</v>
      </c>
      <c r="E1912" s="63" t="s">
        <v>4917</v>
      </c>
    </row>
    <row r="1913" spans="2:5" ht="33.75" customHeight="1">
      <c r="B1913" s="60">
        <v>1911</v>
      </c>
      <c r="C1913" s="61" t="s">
        <v>4918</v>
      </c>
      <c r="D1913" s="62" t="s">
        <v>4919</v>
      </c>
      <c r="E1913" s="63" t="s">
        <v>4920</v>
      </c>
    </row>
    <row r="1914" spans="2:5" ht="33.75" customHeight="1">
      <c r="B1914" s="60">
        <v>1912</v>
      </c>
      <c r="C1914" s="61" t="s">
        <v>4921</v>
      </c>
      <c r="D1914" s="62" t="s">
        <v>4922</v>
      </c>
      <c r="E1914" s="63" t="s">
        <v>4923</v>
      </c>
    </row>
    <row r="1915" spans="2:5" ht="33.75" customHeight="1">
      <c r="B1915" s="60">
        <v>1913</v>
      </c>
      <c r="C1915" s="61" t="s">
        <v>4924</v>
      </c>
      <c r="D1915" s="62" t="s">
        <v>4925</v>
      </c>
      <c r="E1915" s="63" t="s">
        <v>4926</v>
      </c>
    </row>
    <row r="1916" spans="2:5" ht="33.75" customHeight="1">
      <c r="B1916" s="60">
        <v>1914</v>
      </c>
      <c r="C1916" s="61" t="s">
        <v>4927</v>
      </c>
      <c r="D1916" s="62" t="s">
        <v>4928</v>
      </c>
      <c r="E1916" s="63" t="s">
        <v>4929</v>
      </c>
    </row>
    <row r="1917" spans="2:5" ht="33.75" customHeight="1">
      <c r="B1917" s="60">
        <v>1915</v>
      </c>
      <c r="C1917" s="61" t="s">
        <v>4930</v>
      </c>
      <c r="D1917" s="62" t="s">
        <v>4931</v>
      </c>
      <c r="E1917" s="63" t="s">
        <v>4932</v>
      </c>
    </row>
    <row r="1918" spans="2:5" ht="33.75" customHeight="1">
      <c r="B1918" s="60">
        <v>1916</v>
      </c>
      <c r="C1918" s="61" t="s">
        <v>4933</v>
      </c>
      <c r="D1918" s="62" t="s">
        <v>4934</v>
      </c>
      <c r="E1918" s="63" t="s">
        <v>4935</v>
      </c>
    </row>
    <row r="1919" spans="2:5" ht="33.75" customHeight="1">
      <c r="B1919" s="60">
        <v>1917</v>
      </c>
      <c r="C1919" s="61" t="s">
        <v>4936</v>
      </c>
      <c r="D1919" s="62" t="s">
        <v>4937</v>
      </c>
      <c r="E1919" s="63" t="s">
        <v>4938</v>
      </c>
    </row>
    <row r="1920" spans="2:5" ht="33.75" customHeight="1">
      <c r="B1920" s="60">
        <v>1918</v>
      </c>
      <c r="C1920" s="61" t="s">
        <v>4939</v>
      </c>
      <c r="D1920" s="62" t="s">
        <v>4940</v>
      </c>
      <c r="E1920" s="63" t="s">
        <v>4941</v>
      </c>
    </row>
    <row r="1921" spans="2:5" ht="33.75" customHeight="1">
      <c r="B1921" s="60">
        <v>1919</v>
      </c>
      <c r="C1921" s="61" t="s">
        <v>4942</v>
      </c>
      <c r="D1921" s="62" t="s">
        <v>4943</v>
      </c>
      <c r="E1921" s="63" t="s">
        <v>4944</v>
      </c>
    </row>
    <row r="1922" spans="2:5" ht="33.75" customHeight="1">
      <c r="B1922" s="60">
        <v>1920</v>
      </c>
      <c r="C1922" s="61" t="s">
        <v>4945</v>
      </c>
      <c r="D1922" s="62" t="s">
        <v>4946</v>
      </c>
      <c r="E1922" s="63" t="s">
        <v>4947</v>
      </c>
    </row>
    <row r="1923" spans="2:5" ht="33.75" customHeight="1">
      <c r="B1923" s="60">
        <v>1921</v>
      </c>
      <c r="C1923" s="61" t="s">
        <v>4948</v>
      </c>
      <c r="D1923" s="62" t="s">
        <v>4949</v>
      </c>
      <c r="E1923" s="63" t="s">
        <v>4950</v>
      </c>
    </row>
    <row r="1924" spans="2:5" ht="33.75" customHeight="1">
      <c r="B1924" s="60">
        <v>1922</v>
      </c>
      <c r="C1924" s="61" t="s">
        <v>4951</v>
      </c>
      <c r="D1924" s="62" t="s">
        <v>4952</v>
      </c>
      <c r="E1924" s="63" t="s">
        <v>4953</v>
      </c>
    </row>
    <row r="1925" spans="2:5" ht="33.75" customHeight="1">
      <c r="B1925" s="60">
        <v>1923</v>
      </c>
      <c r="C1925" s="61" t="s">
        <v>4954</v>
      </c>
      <c r="D1925" s="62" t="s">
        <v>4955</v>
      </c>
      <c r="E1925" s="63" t="s">
        <v>4956</v>
      </c>
    </row>
    <row r="1926" spans="2:5" ht="33.75" customHeight="1">
      <c r="B1926" s="60">
        <v>1924</v>
      </c>
      <c r="C1926" s="61" t="s">
        <v>4957</v>
      </c>
      <c r="D1926" s="62" t="s">
        <v>4958</v>
      </c>
      <c r="E1926" s="63"/>
    </row>
    <row r="1927" spans="2:5" ht="33.75" customHeight="1">
      <c r="B1927" s="60">
        <v>1925</v>
      </c>
      <c r="C1927" s="61" t="s">
        <v>4959</v>
      </c>
      <c r="D1927" s="62" t="s">
        <v>4960</v>
      </c>
      <c r="E1927" s="63"/>
    </row>
    <row r="1928" spans="2:5" ht="33.75" customHeight="1">
      <c r="B1928" s="60">
        <v>1926</v>
      </c>
      <c r="C1928" s="61" t="s">
        <v>4961</v>
      </c>
      <c r="D1928" s="62" t="s">
        <v>4962</v>
      </c>
      <c r="E1928" s="63" t="s">
        <v>4963</v>
      </c>
    </row>
    <row r="1929" spans="2:5" ht="33.75" customHeight="1">
      <c r="B1929" s="60">
        <v>1927</v>
      </c>
      <c r="C1929" s="61" t="s">
        <v>4964</v>
      </c>
      <c r="D1929" s="62" t="s">
        <v>4965</v>
      </c>
      <c r="E1929" s="63" t="s">
        <v>4966</v>
      </c>
    </row>
    <row r="1930" spans="2:5" ht="33.75" customHeight="1">
      <c r="B1930" s="60">
        <v>1928</v>
      </c>
      <c r="C1930" s="61" t="s">
        <v>4967</v>
      </c>
      <c r="D1930" s="62" t="s">
        <v>4968</v>
      </c>
      <c r="E1930" s="63" t="s">
        <v>4969</v>
      </c>
    </row>
    <row r="1931" spans="2:5" ht="33.75" customHeight="1">
      <c r="B1931" s="60">
        <v>1929</v>
      </c>
      <c r="C1931" s="61" t="s">
        <v>4970</v>
      </c>
      <c r="D1931" s="62" t="s">
        <v>4971</v>
      </c>
      <c r="E1931" s="63" t="s">
        <v>4972</v>
      </c>
    </row>
    <row r="1932" spans="2:5" ht="33.75" customHeight="1">
      <c r="B1932" s="60">
        <v>1930</v>
      </c>
      <c r="C1932" s="61" t="s">
        <v>4973</v>
      </c>
      <c r="D1932" s="62" t="s">
        <v>4974</v>
      </c>
      <c r="E1932" s="63" t="s">
        <v>4975</v>
      </c>
    </row>
    <row r="1933" spans="2:5" ht="33.75" customHeight="1">
      <c r="B1933" s="60">
        <v>1931</v>
      </c>
      <c r="C1933" s="61" t="s">
        <v>4976</v>
      </c>
      <c r="D1933" s="62" t="s">
        <v>4977</v>
      </c>
      <c r="E1933" s="63" t="s">
        <v>4978</v>
      </c>
    </row>
    <row r="1934" spans="2:5" ht="33.75" customHeight="1">
      <c r="B1934" s="60">
        <v>1932</v>
      </c>
      <c r="C1934" s="61" t="s">
        <v>4979</v>
      </c>
      <c r="D1934" s="62" t="s">
        <v>4980</v>
      </c>
      <c r="E1934" s="63" t="s">
        <v>4981</v>
      </c>
    </row>
    <row r="1935" spans="2:5" ht="33.75" customHeight="1">
      <c r="B1935" s="60">
        <v>1933</v>
      </c>
      <c r="C1935" s="61" t="s">
        <v>4982</v>
      </c>
      <c r="D1935" s="62" t="s">
        <v>4983</v>
      </c>
      <c r="E1935" s="63" t="s">
        <v>4984</v>
      </c>
    </row>
    <row r="1936" spans="2:5" ht="33.75" customHeight="1">
      <c r="B1936" s="60">
        <v>1934</v>
      </c>
      <c r="C1936" s="61" t="s">
        <v>4985</v>
      </c>
      <c r="D1936" s="62" t="s">
        <v>4986</v>
      </c>
      <c r="E1936" s="63" t="s">
        <v>4987</v>
      </c>
    </row>
    <row r="1937" spans="2:5" ht="33.75" customHeight="1">
      <c r="B1937" s="60">
        <v>1935</v>
      </c>
      <c r="C1937" s="61" t="s">
        <v>4988</v>
      </c>
      <c r="D1937" s="62" t="s">
        <v>4989</v>
      </c>
      <c r="E1937" s="63" t="s">
        <v>4990</v>
      </c>
    </row>
    <row r="1938" spans="2:5" ht="33.75" customHeight="1">
      <c r="B1938" s="60">
        <v>1936</v>
      </c>
      <c r="C1938" s="61" t="s">
        <v>4991</v>
      </c>
      <c r="D1938" s="62" t="s">
        <v>4992</v>
      </c>
      <c r="E1938" s="63" t="s">
        <v>4993</v>
      </c>
    </row>
    <row r="1939" spans="2:5" ht="33.75" customHeight="1">
      <c r="B1939" s="60">
        <v>1937</v>
      </c>
      <c r="C1939" s="61" t="s">
        <v>4994</v>
      </c>
      <c r="D1939" s="62" t="s">
        <v>4995</v>
      </c>
      <c r="E1939" s="63" t="s">
        <v>4996</v>
      </c>
    </row>
    <row r="1940" spans="2:5" ht="33.75" customHeight="1">
      <c r="B1940" s="60">
        <v>1938</v>
      </c>
      <c r="C1940" s="61" t="s">
        <v>4997</v>
      </c>
      <c r="D1940" s="62" t="s">
        <v>4998</v>
      </c>
      <c r="E1940" s="63" t="s">
        <v>4999</v>
      </c>
    </row>
    <row r="1941" spans="2:5" ht="33.75" customHeight="1">
      <c r="B1941" s="60">
        <v>1939</v>
      </c>
      <c r="C1941" s="61" t="s">
        <v>5000</v>
      </c>
      <c r="D1941" s="62" t="s">
        <v>5001</v>
      </c>
      <c r="E1941" s="63" t="s">
        <v>5002</v>
      </c>
    </row>
    <row r="1942" spans="2:5" ht="33.75" customHeight="1">
      <c r="B1942" s="60">
        <v>1940</v>
      </c>
      <c r="C1942" s="61" t="s">
        <v>5003</v>
      </c>
      <c r="D1942" s="62" t="s">
        <v>5004</v>
      </c>
      <c r="E1942" s="63" t="s">
        <v>5005</v>
      </c>
    </row>
    <row r="1943" spans="2:5" ht="33.75" customHeight="1">
      <c r="B1943" s="60">
        <v>1941</v>
      </c>
      <c r="C1943" s="61" t="s">
        <v>5006</v>
      </c>
      <c r="D1943" s="62" t="s">
        <v>5007</v>
      </c>
      <c r="E1943" s="63" t="s">
        <v>5008</v>
      </c>
    </row>
    <row r="1944" spans="2:5" ht="33.75" customHeight="1">
      <c r="B1944" s="60">
        <v>1942</v>
      </c>
      <c r="C1944" s="61" t="s">
        <v>5009</v>
      </c>
      <c r="D1944" s="62" t="s">
        <v>5010</v>
      </c>
      <c r="E1944" s="63" t="s">
        <v>5011</v>
      </c>
    </row>
    <row r="1945" spans="2:5" ht="33.75" customHeight="1">
      <c r="B1945" s="60">
        <v>1943</v>
      </c>
      <c r="C1945" s="61" t="s">
        <v>5012</v>
      </c>
      <c r="D1945" s="62" t="s">
        <v>5013</v>
      </c>
      <c r="E1945" s="63" t="s">
        <v>5014</v>
      </c>
    </row>
    <row r="1946" spans="2:5" ht="33.75" customHeight="1">
      <c r="B1946" s="60">
        <v>1944</v>
      </c>
      <c r="C1946" s="61" t="s">
        <v>5015</v>
      </c>
      <c r="D1946" s="62" t="s">
        <v>5016</v>
      </c>
      <c r="E1946" s="63" t="s">
        <v>5017</v>
      </c>
    </row>
    <row r="1947" spans="2:5" ht="33.75" customHeight="1">
      <c r="B1947" s="60">
        <v>1945</v>
      </c>
      <c r="C1947" s="61" t="s">
        <v>5018</v>
      </c>
      <c r="D1947" s="62" t="s">
        <v>5019</v>
      </c>
      <c r="E1947" s="63" t="s">
        <v>5020</v>
      </c>
    </row>
    <row r="1948" spans="2:5" ht="33.75" customHeight="1">
      <c r="B1948" s="60">
        <v>1946</v>
      </c>
      <c r="C1948" s="61" t="s">
        <v>5021</v>
      </c>
      <c r="D1948" s="62" t="s">
        <v>5022</v>
      </c>
      <c r="E1948" s="63" t="s">
        <v>5023</v>
      </c>
    </row>
    <row r="1949" spans="2:5" ht="33.75" customHeight="1">
      <c r="B1949" s="60">
        <v>1947</v>
      </c>
      <c r="C1949" s="61" t="s">
        <v>5024</v>
      </c>
      <c r="D1949" s="62" t="s">
        <v>5025</v>
      </c>
      <c r="E1949" s="63" t="s">
        <v>5026</v>
      </c>
    </row>
    <row r="1950" spans="2:5" ht="33.75" customHeight="1">
      <c r="B1950" s="60">
        <v>1948</v>
      </c>
      <c r="C1950" s="61" t="s">
        <v>5027</v>
      </c>
      <c r="D1950" s="62" t="s">
        <v>5028</v>
      </c>
      <c r="E1950" s="63" t="s">
        <v>5029</v>
      </c>
    </row>
    <row r="1951" spans="2:5" ht="33.75" customHeight="1">
      <c r="B1951" s="60">
        <v>1949</v>
      </c>
      <c r="C1951" s="61" t="s">
        <v>5030</v>
      </c>
      <c r="D1951" s="62" t="s">
        <v>5031</v>
      </c>
      <c r="E1951" s="63" t="s">
        <v>5032</v>
      </c>
    </row>
    <row r="1952" spans="2:5" ht="33.75" customHeight="1">
      <c r="B1952" s="60">
        <v>1950</v>
      </c>
      <c r="C1952" s="61" t="s">
        <v>5033</v>
      </c>
      <c r="D1952" s="62" t="s">
        <v>5034</v>
      </c>
      <c r="E1952" s="63" t="s">
        <v>5035</v>
      </c>
    </row>
    <row r="1953" spans="2:5" ht="33.75" customHeight="1">
      <c r="B1953" s="60">
        <v>1951</v>
      </c>
      <c r="C1953" s="61" t="s">
        <v>5036</v>
      </c>
      <c r="D1953" s="62" t="s">
        <v>5037</v>
      </c>
      <c r="E1953" s="63" t="s">
        <v>5038</v>
      </c>
    </row>
    <row r="1954" spans="2:5" ht="33.75" customHeight="1">
      <c r="B1954" s="60">
        <v>1952</v>
      </c>
      <c r="C1954" s="61" t="s">
        <v>5039</v>
      </c>
      <c r="D1954" s="62" t="s">
        <v>5040</v>
      </c>
      <c r="E1954" s="63" t="s">
        <v>5041</v>
      </c>
    </row>
    <row r="1955" spans="2:5" ht="33.75" customHeight="1">
      <c r="B1955" s="60">
        <v>1953</v>
      </c>
      <c r="C1955" s="61" t="s">
        <v>5042</v>
      </c>
      <c r="D1955" s="62" t="s">
        <v>5043</v>
      </c>
      <c r="E1955" s="63" t="s">
        <v>5044</v>
      </c>
    </row>
    <row r="1956" spans="2:5" ht="33.75" customHeight="1">
      <c r="B1956" s="60">
        <v>1954</v>
      </c>
      <c r="C1956" s="61" t="s">
        <v>5045</v>
      </c>
      <c r="D1956" s="62" t="s">
        <v>5046</v>
      </c>
      <c r="E1956" s="63" t="s">
        <v>5047</v>
      </c>
    </row>
    <row r="1957" spans="2:5" ht="33.75" customHeight="1">
      <c r="B1957" s="60">
        <v>1955</v>
      </c>
      <c r="C1957" s="61" t="s">
        <v>5048</v>
      </c>
      <c r="D1957" s="62" t="s">
        <v>5049</v>
      </c>
      <c r="E1957" s="63" t="s">
        <v>5050</v>
      </c>
    </row>
    <row r="1958" spans="2:5" ht="33.75" customHeight="1">
      <c r="B1958" s="60">
        <v>1956</v>
      </c>
      <c r="C1958" s="61" t="s">
        <v>5051</v>
      </c>
      <c r="D1958" s="62" t="s">
        <v>5052</v>
      </c>
      <c r="E1958" s="63" t="s">
        <v>5053</v>
      </c>
    </row>
    <row r="1959" spans="2:5" ht="33.75" customHeight="1">
      <c r="B1959" s="60">
        <v>1957</v>
      </c>
      <c r="C1959" s="61" t="s">
        <v>5054</v>
      </c>
      <c r="D1959" s="62" t="s">
        <v>5055</v>
      </c>
      <c r="E1959" s="63" t="s">
        <v>5056</v>
      </c>
    </row>
    <row r="1960" spans="2:5" ht="33.75" customHeight="1">
      <c r="B1960" s="60">
        <v>1958</v>
      </c>
      <c r="C1960" s="61" t="s">
        <v>5057</v>
      </c>
      <c r="D1960" s="62" t="s">
        <v>5058</v>
      </c>
      <c r="E1960" s="63" t="s">
        <v>5059</v>
      </c>
    </row>
    <row r="1961" spans="2:5" ht="33.75" customHeight="1">
      <c r="B1961" s="60">
        <v>1959</v>
      </c>
      <c r="C1961" s="61" t="s">
        <v>5060</v>
      </c>
      <c r="D1961" s="62" t="s">
        <v>5061</v>
      </c>
      <c r="E1961" s="63" t="s">
        <v>5062</v>
      </c>
    </row>
    <row r="1962" spans="2:5" ht="33.75" customHeight="1">
      <c r="B1962" s="60">
        <v>1960</v>
      </c>
      <c r="C1962" s="61" t="s">
        <v>5063</v>
      </c>
      <c r="D1962" s="62" t="s">
        <v>5064</v>
      </c>
      <c r="E1962" s="63" t="s">
        <v>5065</v>
      </c>
    </row>
    <row r="1963" spans="2:5" ht="33.75" customHeight="1">
      <c r="B1963" s="60">
        <v>1961</v>
      </c>
      <c r="C1963" s="61" t="s">
        <v>5066</v>
      </c>
      <c r="D1963" s="62" t="s">
        <v>5067</v>
      </c>
      <c r="E1963" s="63" t="s">
        <v>5068</v>
      </c>
    </row>
    <row r="1964" spans="2:5" ht="33.75" customHeight="1">
      <c r="B1964" s="60">
        <v>1962</v>
      </c>
      <c r="C1964" s="61" t="s">
        <v>5069</v>
      </c>
      <c r="D1964" s="62" t="s">
        <v>5070</v>
      </c>
      <c r="E1964" s="63" t="s">
        <v>5071</v>
      </c>
    </row>
    <row r="1965" spans="2:5" ht="33.75" customHeight="1">
      <c r="B1965" s="60">
        <v>1963</v>
      </c>
      <c r="C1965" s="61" t="s">
        <v>5072</v>
      </c>
      <c r="D1965" s="62" t="s">
        <v>5073</v>
      </c>
      <c r="E1965" s="63" t="s">
        <v>5074</v>
      </c>
    </row>
    <row r="1966" spans="2:5" ht="33.75" customHeight="1">
      <c r="B1966" s="60">
        <v>1964</v>
      </c>
      <c r="C1966" s="61" t="s">
        <v>5075</v>
      </c>
      <c r="D1966" s="62" t="s">
        <v>5076</v>
      </c>
      <c r="E1966" s="63" t="s">
        <v>5077</v>
      </c>
    </row>
    <row r="1967" spans="2:5" ht="33.75" customHeight="1">
      <c r="B1967" s="60">
        <v>1965</v>
      </c>
      <c r="C1967" s="61" t="s">
        <v>5078</v>
      </c>
      <c r="D1967" s="62" t="s">
        <v>5079</v>
      </c>
      <c r="E1967" s="63" t="s">
        <v>5080</v>
      </c>
    </row>
    <row r="1968" spans="2:5" ht="33.75" customHeight="1">
      <c r="B1968" s="60">
        <v>1966</v>
      </c>
      <c r="C1968" s="61" t="s">
        <v>5081</v>
      </c>
      <c r="D1968" s="62" t="s">
        <v>5082</v>
      </c>
      <c r="E1968" s="63" t="s">
        <v>5083</v>
      </c>
    </row>
    <row r="1969" spans="2:5" ht="33.75" customHeight="1">
      <c r="B1969" s="60">
        <v>1967</v>
      </c>
      <c r="C1969" s="61" t="s">
        <v>5084</v>
      </c>
      <c r="D1969" s="62" t="s">
        <v>5085</v>
      </c>
      <c r="E1969" s="63" t="s">
        <v>5086</v>
      </c>
    </row>
    <row r="1970" spans="2:5" ht="33.75" customHeight="1">
      <c r="B1970" s="60">
        <v>1968</v>
      </c>
      <c r="C1970" s="61" t="s">
        <v>5087</v>
      </c>
      <c r="D1970" s="62" t="s">
        <v>5088</v>
      </c>
      <c r="E1970" s="63" t="s">
        <v>5089</v>
      </c>
    </row>
    <row r="1971" spans="2:5" ht="33.75" customHeight="1">
      <c r="B1971" s="60">
        <v>1969</v>
      </c>
      <c r="C1971" s="61" t="s">
        <v>5090</v>
      </c>
      <c r="D1971" s="62" t="s">
        <v>5091</v>
      </c>
      <c r="E1971" s="63" t="s">
        <v>5092</v>
      </c>
    </row>
    <row r="1972" spans="2:5" ht="33.75" customHeight="1">
      <c r="B1972" s="60">
        <v>1970</v>
      </c>
      <c r="C1972" s="61" t="s">
        <v>5093</v>
      </c>
      <c r="D1972" s="62" t="s">
        <v>5094</v>
      </c>
      <c r="E1972" s="63" t="s">
        <v>5095</v>
      </c>
    </row>
    <row r="1973" spans="2:5" ht="33.75" customHeight="1">
      <c r="B1973" s="60">
        <v>1971</v>
      </c>
      <c r="C1973" s="61" t="s">
        <v>5096</v>
      </c>
      <c r="D1973" s="62" t="s">
        <v>5097</v>
      </c>
      <c r="E1973" s="63" t="s">
        <v>5098</v>
      </c>
    </row>
    <row r="1974" spans="2:5" ht="33.75" customHeight="1">
      <c r="B1974" s="60">
        <v>1972</v>
      </c>
      <c r="C1974" s="61" t="s">
        <v>5099</v>
      </c>
      <c r="D1974" s="62" t="s">
        <v>5100</v>
      </c>
      <c r="E1974" s="63" t="s">
        <v>5101</v>
      </c>
    </row>
    <row r="1975" spans="2:5" ht="33.75" customHeight="1">
      <c r="B1975" s="60">
        <v>1973</v>
      </c>
      <c r="C1975" s="61" t="s">
        <v>5102</v>
      </c>
      <c r="D1975" s="62" t="s">
        <v>5103</v>
      </c>
      <c r="E1975" s="63" t="s">
        <v>5104</v>
      </c>
    </row>
    <row r="1976" spans="2:5" ht="33.75" customHeight="1">
      <c r="B1976" s="60">
        <v>1974</v>
      </c>
      <c r="C1976" s="61" t="s">
        <v>5105</v>
      </c>
      <c r="D1976" s="62" t="s">
        <v>5106</v>
      </c>
      <c r="E1976" s="63" t="s">
        <v>5107</v>
      </c>
    </row>
    <row r="1977" spans="2:5" ht="33.75" customHeight="1">
      <c r="B1977" s="60">
        <v>1975</v>
      </c>
      <c r="C1977" s="61" t="s">
        <v>5108</v>
      </c>
      <c r="D1977" s="62" t="s">
        <v>5109</v>
      </c>
      <c r="E1977" s="63" t="s">
        <v>5110</v>
      </c>
    </row>
    <row r="1978" spans="2:5" ht="33.75" customHeight="1">
      <c r="B1978" s="60">
        <v>1976</v>
      </c>
      <c r="C1978" s="61" t="s">
        <v>5111</v>
      </c>
      <c r="D1978" s="62" t="s">
        <v>5112</v>
      </c>
      <c r="E1978" s="63" t="s">
        <v>5113</v>
      </c>
    </row>
    <row r="1979" spans="2:5" ht="33.75" customHeight="1">
      <c r="B1979" s="60">
        <v>1977</v>
      </c>
      <c r="C1979" s="61" t="s">
        <v>5114</v>
      </c>
      <c r="D1979" s="62" t="s">
        <v>5115</v>
      </c>
      <c r="E1979" s="63" t="s">
        <v>5116</v>
      </c>
    </row>
    <row r="1980" spans="2:5" ht="33.75" customHeight="1">
      <c r="B1980" s="60">
        <v>1978</v>
      </c>
      <c r="C1980" s="61" t="s">
        <v>5117</v>
      </c>
      <c r="D1980" s="62" t="s">
        <v>5118</v>
      </c>
      <c r="E1980" s="63" t="s">
        <v>5119</v>
      </c>
    </row>
    <row r="1981" spans="2:5" ht="33.75" customHeight="1">
      <c r="B1981" s="60">
        <v>1979</v>
      </c>
      <c r="C1981" s="61" t="s">
        <v>5120</v>
      </c>
      <c r="D1981" s="62" t="s">
        <v>5121</v>
      </c>
      <c r="E1981" s="63" t="s">
        <v>5122</v>
      </c>
    </row>
    <row r="1982" spans="2:5" ht="33.75" customHeight="1">
      <c r="B1982" s="60">
        <v>1980</v>
      </c>
      <c r="C1982" s="61" t="s">
        <v>5123</v>
      </c>
      <c r="D1982" s="62" t="s">
        <v>5124</v>
      </c>
      <c r="E1982" s="63" t="s">
        <v>5125</v>
      </c>
    </row>
    <row r="1983" spans="2:5" ht="33.75" customHeight="1">
      <c r="B1983" s="60">
        <v>1981</v>
      </c>
      <c r="C1983" s="61" t="s">
        <v>5126</v>
      </c>
      <c r="D1983" s="62" t="s">
        <v>5127</v>
      </c>
      <c r="E1983" s="63" t="s">
        <v>5128</v>
      </c>
    </row>
    <row r="1984" spans="2:5" ht="33.75" customHeight="1">
      <c r="B1984" s="60">
        <v>1982</v>
      </c>
      <c r="C1984" s="61" t="s">
        <v>5129</v>
      </c>
      <c r="D1984" s="62" t="s">
        <v>5130</v>
      </c>
      <c r="E1984" s="63" t="s">
        <v>5131</v>
      </c>
    </row>
    <row r="1985" spans="2:5" ht="33.75" customHeight="1">
      <c r="B1985" s="60">
        <v>1983</v>
      </c>
      <c r="C1985" s="61" t="s">
        <v>5132</v>
      </c>
      <c r="D1985" s="62" t="s">
        <v>5133</v>
      </c>
      <c r="E1985" s="63" t="s">
        <v>5134</v>
      </c>
    </row>
    <row r="1986" spans="2:5" ht="33.75" customHeight="1">
      <c r="B1986" s="60">
        <v>1984</v>
      </c>
      <c r="C1986" s="61" t="s">
        <v>5135</v>
      </c>
      <c r="D1986" s="62" t="s">
        <v>5136</v>
      </c>
      <c r="E1986" s="63" t="s">
        <v>5137</v>
      </c>
    </row>
    <row r="1987" spans="2:5" ht="33.75" customHeight="1">
      <c r="B1987" s="60">
        <v>1985</v>
      </c>
      <c r="C1987" s="61" t="s">
        <v>5138</v>
      </c>
      <c r="D1987" s="62" t="s">
        <v>5139</v>
      </c>
      <c r="E1987" s="63" t="s">
        <v>5140</v>
      </c>
    </row>
    <row r="1988" spans="2:5" ht="33.75" customHeight="1">
      <c r="B1988" s="60">
        <v>1986</v>
      </c>
      <c r="C1988" s="61" t="s">
        <v>5141</v>
      </c>
      <c r="D1988" s="62" t="s">
        <v>5142</v>
      </c>
      <c r="E1988" s="63" t="s">
        <v>5143</v>
      </c>
    </row>
    <row r="1989" spans="2:5" ht="33.75" customHeight="1">
      <c r="B1989" s="60">
        <v>1987</v>
      </c>
      <c r="C1989" s="61" t="s">
        <v>5144</v>
      </c>
      <c r="D1989" s="62" t="s">
        <v>5145</v>
      </c>
      <c r="E1989" s="63" t="s">
        <v>5146</v>
      </c>
    </row>
    <row r="1990" spans="2:5" ht="33.75" customHeight="1">
      <c r="B1990" s="60">
        <v>1988</v>
      </c>
      <c r="C1990" s="61" t="s">
        <v>5147</v>
      </c>
      <c r="D1990" s="62" t="s">
        <v>5148</v>
      </c>
      <c r="E1990" s="63" t="s">
        <v>5149</v>
      </c>
    </row>
    <row r="1991" spans="2:5" ht="33.75" customHeight="1">
      <c r="B1991" s="60">
        <v>1989</v>
      </c>
      <c r="C1991" s="61" t="s">
        <v>5150</v>
      </c>
      <c r="D1991" s="62" t="s">
        <v>5151</v>
      </c>
      <c r="E1991" s="63" t="s">
        <v>5152</v>
      </c>
    </row>
    <row r="1992" spans="2:5" ht="33.75" customHeight="1">
      <c r="B1992" s="60">
        <v>1990</v>
      </c>
      <c r="C1992" s="61" t="s">
        <v>5153</v>
      </c>
      <c r="D1992" s="62" t="s">
        <v>5154</v>
      </c>
      <c r="E1992" s="63" t="s">
        <v>5155</v>
      </c>
    </row>
    <row r="1993" spans="2:5" ht="33.75" customHeight="1">
      <c r="B1993" s="60">
        <v>1991</v>
      </c>
      <c r="C1993" s="61" t="s">
        <v>5156</v>
      </c>
      <c r="D1993" s="62" t="s">
        <v>5157</v>
      </c>
      <c r="E1993" s="63" t="s">
        <v>5158</v>
      </c>
    </row>
    <row r="1994" spans="2:5" ht="33.75" customHeight="1">
      <c r="B1994" s="60">
        <v>1992</v>
      </c>
      <c r="C1994" s="61" t="s">
        <v>5159</v>
      </c>
      <c r="D1994" s="62" t="s">
        <v>5160</v>
      </c>
      <c r="E1994" s="63" t="s">
        <v>5161</v>
      </c>
    </row>
    <row r="1995" spans="2:5" ht="33.75" customHeight="1">
      <c r="B1995" s="60">
        <v>1993</v>
      </c>
      <c r="C1995" s="61" t="s">
        <v>5162</v>
      </c>
      <c r="D1995" s="62" t="s">
        <v>5163</v>
      </c>
      <c r="E1995" s="63" t="s">
        <v>5164</v>
      </c>
    </row>
    <row r="1996" spans="2:5" ht="33.75" customHeight="1">
      <c r="B1996" s="60">
        <v>1994</v>
      </c>
      <c r="C1996" s="61" t="s">
        <v>5165</v>
      </c>
      <c r="D1996" s="62" t="s">
        <v>5166</v>
      </c>
      <c r="E1996" s="63" t="s">
        <v>5167</v>
      </c>
    </row>
    <row r="1997" spans="2:5" ht="33.75" customHeight="1">
      <c r="B1997" s="60">
        <v>1995</v>
      </c>
      <c r="C1997" s="61" t="s">
        <v>5168</v>
      </c>
      <c r="D1997" s="62" t="s">
        <v>5169</v>
      </c>
      <c r="E1997" s="63" t="s">
        <v>5170</v>
      </c>
    </row>
    <row r="1998" spans="2:5" ht="33.75" customHeight="1">
      <c r="B1998" s="60">
        <v>1996</v>
      </c>
      <c r="C1998" s="61" t="s">
        <v>5171</v>
      </c>
      <c r="D1998" s="62" t="s">
        <v>5172</v>
      </c>
      <c r="E1998" s="63" t="s">
        <v>5173</v>
      </c>
    </row>
    <row r="1999" spans="2:5" ht="33.75" customHeight="1">
      <c r="B1999" s="60">
        <v>1997</v>
      </c>
      <c r="C1999" s="61" t="s">
        <v>5174</v>
      </c>
      <c r="D1999" s="62" t="s">
        <v>5175</v>
      </c>
      <c r="E1999" s="63" t="s">
        <v>5176</v>
      </c>
    </row>
    <row r="2000" spans="2:5" ht="33.75" customHeight="1">
      <c r="B2000" s="60">
        <v>1998</v>
      </c>
      <c r="C2000" s="61" t="s">
        <v>5177</v>
      </c>
      <c r="D2000" s="62" t="s">
        <v>5178</v>
      </c>
      <c r="E2000" s="63" t="s">
        <v>5179</v>
      </c>
    </row>
    <row r="2001" spans="2:5" ht="33.75" customHeight="1">
      <c r="B2001" s="60">
        <v>1999</v>
      </c>
      <c r="C2001" s="61" t="s">
        <v>5180</v>
      </c>
      <c r="D2001" s="62" t="s">
        <v>5181</v>
      </c>
      <c r="E2001" s="63" t="s">
        <v>5182</v>
      </c>
    </row>
    <row r="2002" spans="2:5" ht="33.75" customHeight="1">
      <c r="B2002" s="60">
        <v>2000</v>
      </c>
      <c r="C2002" s="61" t="s">
        <v>5183</v>
      </c>
      <c r="D2002" s="62" t="s">
        <v>5184</v>
      </c>
      <c r="E2002" s="63" t="s">
        <v>5185</v>
      </c>
    </row>
    <row r="2003" spans="2:5" ht="33.75" customHeight="1">
      <c r="B2003" s="60">
        <v>2001</v>
      </c>
      <c r="C2003" s="61" t="s">
        <v>5186</v>
      </c>
      <c r="D2003" s="62" t="s">
        <v>5187</v>
      </c>
      <c r="E2003" s="63" t="s">
        <v>5188</v>
      </c>
    </row>
    <row r="2004" spans="2:5" ht="33.75" customHeight="1">
      <c r="B2004" s="60">
        <v>2002</v>
      </c>
      <c r="C2004" s="61" t="s">
        <v>5189</v>
      </c>
      <c r="D2004" s="62" t="s">
        <v>5190</v>
      </c>
      <c r="E2004" s="63" t="s">
        <v>5191</v>
      </c>
    </row>
    <row r="2005" spans="2:5" ht="33.75" customHeight="1">
      <c r="B2005" s="60">
        <v>2003</v>
      </c>
      <c r="C2005" s="61" t="s">
        <v>5192</v>
      </c>
      <c r="D2005" s="62" t="s">
        <v>5193</v>
      </c>
      <c r="E2005" s="63"/>
    </row>
    <row r="2006" spans="2:5" ht="33.75" customHeight="1">
      <c r="B2006" s="60">
        <v>2004</v>
      </c>
      <c r="C2006" s="61" t="s">
        <v>5194</v>
      </c>
      <c r="D2006" s="62" t="s">
        <v>5195</v>
      </c>
      <c r="E2006" s="63"/>
    </row>
    <row r="2007" spans="2:5" ht="33.75" customHeight="1">
      <c r="B2007" s="60">
        <v>2005</v>
      </c>
      <c r="C2007" s="61" t="s">
        <v>5196</v>
      </c>
      <c r="D2007" s="62" t="s">
        <v>5197</v>
      </c>
      <c r="E2007" s="63" t="s">
        <v>5198</v>
      </c>
    </row>
    <row r="2008" spans="2:5" ht="33.75" customHeight="1">
      <c r="B2008" s="60">
        <v>2006</v>
      </c>
      <c r="C2008" s="61" t="s">
        <v>5199</v>
      </c>
      <c r="D2008" s="62" t="s">
        <v>5200</v>
      </c>
      <c r="E2008" s="63"/>
    </row>
    <row r="2009" spans="2:5" ht="33.75" customHeight="1">
      <c r="B2009" s="60">
        <v>2007</v>
      </c>
      <c r="C2009" s="61" t="s">
        <v>5201</v>
      </c>
      <c r="D2009" s="62" t="s">
        <v>5202</v>
      </c>
      <c r="E2009" s="63" t="s">
        <v>5203</v>
      </c>
    </row>
    <row r="2010" spans="2:5" ht="33.75" customHeight="1">
      <c r="B2010" s="60">
        <v>2008</v>
      </c>
      <c r="C2010" s="61" t="s">
        <v>5204</v>
      </c>
      <c r="D2010" s="62" t="s">
        <v>5205</v>
      </c>
      <c r="E2010" s="63"/>
    </row>
    <row r="2011" spans="2:5" ht="33.75" customHeight="1">
      <c r="B2011" s="60">
        <v>2009</v>
      </c>
      <c r="C2011" s="61" t="s">
        <v>5206</v>
      </c>
      <c r="D2011" s="62" t="s">
        <v>5207</v>
      </c>
      <c r="E2011" s="63" t="s">
        <v>5208</v>
      </c>
    </row>
    <row r="2012" spans="2:5" ht="33.75" customHeight="1">
      <c r="B2012" s="60">
        <v>2010</v>
      </c>
      <c r="C2012" s="61" t="s">
        <v>5209</v>
      </c>
      <c r="D2012" s="62" t="s">
        <v>5210</v>
      </c>
      <c r="E2012" s="63" t="s">
        <v>5211</v>
      </c>
    </row>
    <row r="2013" spans="2:5" ht="33.75" customHeight="1">
      <c r="B2013" s="60">
        <v>2011</v>
      </c>
      <c r="C2013" s="61" t="s">
        <v>5212</v>
      </c>
      <c r="D2013" s="62" t="s">
        <v>5213</v>
      </c>
      <c r="E2013" s="63"/>
    </row>
    <row r="2014" spans="2:5" ht="33.75" customHeight="1">
      <c r="B2014" s="60">
        <v>2012</v>
      </c>
      <c r="C2014" s="61" t="s">
        <v>5214</v>
      </c>
      <c r="D2014" s="62" t="s">
        <v>5215</v>
      </c>
      <c r="E2014" s="63"/>
    </row>
    <row r="2015" spans="2:5" ht="33.75" customHeight="1">
      <c r="B2015" s="60">
        <v>2013</v>
      </c>
      <c r="C2015" s="61" t="s">
        <v>5216</v>
      </c>
      <c r="D2015" s="62" t="s">
        <v>5217</v>
      </c>
      <c r="E2015" s="63"/>
    </row>
    <row r="2016" spans="2:5" ht="33.75" customHeight="1">
      <c r="B2016" s="60">
        <v>2014</v>
      </c>
      <c r="C2016" s="61" t="s">
        <v>5218</v>
      </c>
      <c r="D2016" s="62" t="s">
        <v>5219</v>
      </c>
      <c r="E2016" s="63" t="s">
        <v>5220</v>
      </c>
    </row>
    <row r="2017" spans="2:5" ht="33.75" customHeight="1">
      <c r="B2017" s="60">
        <v>2015</v>
      </c>
      <c r="C2017" s="61" t="s">
        <v>5221</v>
      </c>
      <c r="D2017" s="62" t="s">
        <v>5222</v>
      </c>
      <c r="E2017" s="63" t="s">
        <v>5223</v>
      </c>
    </row>
    <row r="2018" spans="2:5" ht="33.75" customHeight="1">
      <c r="B2018" s="60">
        <v>2016</v>
      </c>
      <c r="C2018" s="61" t="s">
        <v>5224</v>
      </c>
      <c r="D2018" s="62" t="s">
        <v>5225</v>
      </c>
      <c r="E2018" s="63"/>
    </row>
    <row r="2019" spans="2:5" ht="33.75" customHeight="1">
      <c r="B2019" s="60">
        <v>2017</v>
      </c>
      <c r="C2019" s="61" t="s">
        <v>5226</v>
      </c>
      <c r="D2019" s="62" t="s">
        <v>5227</v>
      </c>
      <c r="E2019" s="63"/>
    </row>
    <row r="2020" spans="2:5" ht="33.75" customHeight="1">
      <c r="B2020" s="60">
        <v>2018</v>
      </c>
      <c r="C2020" s="61" t="s">
        <v>5228</v>
      </c>
      <c r="D2020" s="62" t="s">
        <v>5229</v>
      </c>
      <c r="E2020" s="63"/>
    </row>
    <row r="2021" spans="2:5" ht="33.75" customHeight="1">
      <c r="B2021" s="60">
        <v>2019</v>
      </c>
      <c r="C2021" s="61" t="s">
        <v>5230</v>
      </c>
      <c r="D2021" s="62" t="s">
        <v>5231</v>
      </c>
      <c r="E2021" s="63" t="s">
        <v>5232</v>
      </c>
    </row>
    <row r="2022" spans="2:5" ht="33.75" customHeight="1">
      <c r="B2022" s="60">
        <v>2020</v>
      </c>
      <c r="C2022" s="61" t="s">
        <v>5233</v>
      </c>
      <c r="D2022" s="62" t="s">
        <v>5234</v>
      </c>
      <c r="E2022" s="63"/>
    </row>
    <row r="2023" spans="2:5" ht="33.75" customHeight="1">
      <c r="B2023" s="60">
        <v>2021</v>
      </c>
      <c r="C2023" s="61" t="s">
        <v>5235</v>
      </c>
      <c r="D2023" s="62" t="s">
        <v>5236</v>
      </c>
      <c r="E2023" s="63"/>
    </row>
    <row r="2024" spans="2:5" ht="33.75" customHeight="1">
      <c r="B2024" s="60">
        <v>2022</v>
      </c>
      <c r="C2024" s="61" t="s">
        <v>5237</v>
      </c>
      <c r="D2024" s="62" t="s">
        <v>5238</v>
      </c>
      <c r="E2024" s="63" t="s">
        <v>5239</v>
      </c>
    </row>
    <row r="2025" spans="2:5" ht="33.75" customHeight="1">
      <c r="B2025" s="60">
        <v>2023</v>
      </c>
      <c r="C2025" s="61" t="s">
        <v>5240</v>
      </c>
      <c r="D2025" s="62" t="s">
        <v>5241</v>
      </c>
      <c r="E2025" s="63" t="s">
        <v>5242</v>
      </c>
    </row>
    <row r="2026" spans="2:5" ht="33.75" customHeight="1">
      <c r="B2026" s="60">
        <v>2024</v>
      </c>
      <c r="C2026" s="61" t="s">
        <v>5243</v>
      </c>
      <c r="D2026" s="62" t="s">
        <v>5244</v>
      </c>
      <c r="E2026" s="63"/>
    </row>
    <row r="2027" spans="2:5" ht="33.75" customHeight="1">
      <c r="B2027" s="60">
        <v>2025</v>
      </c>
      <c r="C2027" s="61" t="s">
        <v>5245</v>
      </c>
      <c r="D2027" s="62" t="s">
        <v>5246</v>
      </c>
      <c r="E2027" s="63"/>
    </row>
    <row r="2028" spans="2:5" ht="33.75" customHeight="1">
      <c r="B2028" s="60">
        <v>2026</v>
      </c>
      <c r="C2028" s="61" t="s">
        <v>5247</v>
      </c>
      <c r="D2028" s="62" t="s">
        <v>5248</v>
      </c>
      <c r="E2028" s="63"/>
    </row>
    <row r="2029" spans="2:5" ht="33.75" customHeight="1">
      <c r="B2029" s="60">
        <v>2027</v>
      </c>
      <c r="C2029" s="61" t="s">
        <v>5249</v>
      </c>
      <c r="D2029" s="62" t="s">
        <v>5250</v>
      </c>
      <c r="E2029" s="63" t="s">
        <v>5251</v>
      </c>
    </row>
    <row r="2030" spans="2:5" ht="33.75" customHeight="1">
      <c r="B2030" s="60">
        <v>2028</v>
      </c>
      <c r="C2030" s="61" t="s">
        <v>5252</v>
      </c>
      <c r="D2030" s="62" t="s">
        <v>5253</v>
      </c>
      <c r="E2030" s="63"/>
    </row>
    <row r="2031" spans="2:5" ht="33.75" customHeight="1">
      <c r="B2031" s="60">
        <v>2029</v>
      </c>
      <c r="C2031" s="61" t="s">
        <v>5254</v>
      </c>
      <c r="D2031" s="62" t="s">
        <v>5255</v>
      </c>
      <c r="E2031" s="63"/>
    </row>
    <row r="2032" spans="2:5" ht="33.75" customHeight="1">
      <c r="B2032" s="60">
        <v>2030</v>
      </c>
      <c r="C2032" s="61" t="s">
        <v>5256</v>
      </c>
      <c r="D2032" s="62" t="s">
        <v>5257</v>
      </c>
      <c r="E2032" s="63" t="s">
        <v>5258</v>
      </c>
    </row>
    <row r="2033" spans="2:5" ht="33.75" customHeight="1">
      <c r="B2033" s="60">
        <v>2031</v>
      </c>
      <c r="C2033" s="61" t="s">
        <v>5259</v>
      </c>
      <c r="D2033" s="62" t="s">
        <v>5260</v>
      </c>
      <c r="E2033" s="63"/>
    </row>
    <row r="2034" spans="2:5" ht="33.75" customHeight="1">
      <c r="B2034" s="60">
        <v>2032</v>
      </c>
      <c r="C2034" s="61" t="s">
        <v>5261</v>
      </c>
      <c r="D2034" s="62" t="s">
        <v>5262</v>
      </c>
      <c r="E2034" s="63" t="s">
        <v>5263</v>
      </c>
    </row>
    <row r="2035" spans="2:5" ht="33.75" customHeight="1">
      <c r="B2035" s="60">
        <v>2033</v>
      </c>
      <c r="C2035" s="61" t="s">
        <v>5264</v>
      </c>
      <c r="D2035" s="62" t="s">
        <v>5265</v>
      </c>
      <c r="E2035" s="63"/>
    </row>
    <row r="2036" spans="2:5" ht="33.75" customHeight="1">
      <c r="B2036" s="60">
        <v>2034</v>
      </c>
      <c r="C2036" s="61" t="s">
        <v>5266</v>
      </c>
      <c r="D2036" s="62" t="s">
        <v>5267</v>
      </c>
      <c r="E2036" s="63" t="s">
        <v>5268</v>
      </c>
    </row>
    <row r="2037" spans="2:5" ht="33.75" customHeight="1">
      <c r="B2037" s="60">
        <v>2035</v>
      </c>
      <c r="C2037" s="61" t="s">
        <v>5269</v>
      </c>
      <c r="D2037" s="62" t="s">
        <v>5270</v>
      </c>
      <c r="E2037" s="63"/>
    </row>
    <row r="2038" spans="2:5" ht="33.75" customHeight="1">
      <c r="B2038" s="60">
        <v>2036</v>
      </c>
      <c r="C2038" s="61" t="s">
        <v>5271</v>
      </c>
      <c r="D2038" s="62" t="s">
        <v>5272</v>
      </c>
      <c r="E2038" s="63" t="s">
        <v>5273</v>
      </c>
    </row>
    <row r="2039" spans="2:5" ht="33.75" customHeight="1">
      <c r="B2039" s="60">
        <v>2037</v>
      </c>
      <c r="C2039" s="61" t="s">
        <v>5274</v>
      </c>
      <c r="D2039" s="62" t="s">
        <v>5275</v>
      </c>
      <c r="E2039" s="63"/>
    </row>
    <row r="2040" spans="2:5" ht="33.75" customHeight="1">
      <c r="B2040" s="60">
        <v>2038</v>
      </c>
      <c r="C2040" s="61" t="s">
        <v>5276</v>
      </c>
      <c r="D2040" s="62" t="s">
        <v>5277</v>
      </c>
      <c r="E2040" s="63"/>
    </row>
    <row r="2041" spans="2:5" ht="33.75" customHeight="1">
      <c r="B2041" s="60">
        <v>2039</v>
      </c>
      <c r="C2041" s="61" t="s">
        <v>5278</v>
      </c>
      <c r="D2041" s="62" t="s">
        <v>5279</v>
      </c>
      <c r="E2041" s="63"/>
    </row>
    <row r="2042" spans="2:5" ht="33.75" customHeight="1">
      <c r="B2042" s="60">
        <v>2040</v>
      </c>
      <c r="C2042" s="61" t="s">
        <v>5280</v>
      </c>
      <c r="D2042" s="62" t="s">
        <v>5281</v>
      </c>
      <c r="E2042" s="63"/>
    </row>
    <row r="2043" spans="2:5" ht="33.75" customHeight="1">
      <c r="B2043" s="60">
        <v>2041</v>
      </c>
      <c r="C2043" s="61" t="s">
        <v>5282</v>
      </c>
      <c r="D2043" s="62" t="s">
        <v>5283</v>
      </c>
      <c r="E2043" s="63" t="s">
        <v>5284</v>
      </c>
    </row>
    <row r="2044" spans="2:5" ht="33.75" customHeight="1">
      <c r="B2044" s="60">
        <v>2042</v>
      </c>
      <c r="C2044" s="61" t="s">
        <v>5285</v>
      </c>
      <c r="D2044" s="62" t="s">
        <v>5286</v>
      </c>
      <c r="E2044" s="63" t="s">
        <v>5287</v>
      </c>
    </row>
    <row r="2045" spans="2:5" ht="33.75" customHeight="1">
      <c r="B2045" s="60">
        <v>2043</v>
      </c>
      <c r="C2045" s="61" t="s">
        <v>5288</v>
      </c>
      <c r="D2045" s="62" t="s">
        <v>5289</v>
      </c>
      <c r="E2045" s="63"/>
    </row>
    <row r="2046" spans="2:5" ht="33.75" customHeight="1">
      <c r="B2046" s="60">
        <v>2044</v>
      </c>
      <c r="C2046" s="61" t="s">
        <v>5290</v>
      </c>
      <c r="D2046" s="62" t="s">
        <v>5291</v>
      </c>
      <c r="E2046" s="63" t="s">
        <v>5292</v>
      </c>
    </row>
    <row r="2047" spans="2:5" ht="33.75" customHeight="1">
      <c r="B2047" s="60">
        <v>2045</v>
      </c>
      <c r="C2047" s="61" t="s">
        <v>5293</v>
      </c>
      <c r="D2047" s="62" t="s">
        <v>5294</v>
      </c>
      <c r="E2047" s="63"/>
    </row>
    <row r="2048" spans="2:5" ht="33.75" customHeight="1">
      <c r="B2048" s="60">
        <v>2046</v>
      </c>
      <c r="C2048" s="61" t="s">
        <v>5295</v>
      </c>
      <c r="D2048" s="62" t="s">
        <v>5296</v>
      </c>
      <c r="E2048" s="63" t="s">
        <v>5297</v>
      </c>
    </row>
    <row r="2049" spans="2:5" ht="33.75" customHeight="1">
      <c r="B2049" s="60">
        <v>2047</v>
      </c>
      <c r="C2049" s="61" t="s">
        <v>5298</v>
      </c>
      <c r="D2049" s="62" t="s">
        <v>5299</v>
      </c>
      <c r="E2049" s="63"/>
    </row>
    <row r="2050" spans="2:5" ht="33.75" customHeight="1">
      <c r="B2050" s="60">
        <v>2048</v>
      </c>
      <c r="C2050" s="61" t="s">
        <v>5300</v>
      </c>
      <c r="D2050" s="62" t="s">
        <v>5301</v>
      </c>
      <c r="E2050" s="63" t="s">
        <v>5302</v>
      </c>
    </row>
    <row r="2051" spans="2:5" ht="33.75" customHeight="1">
      <c r="B2051" s="60">
        <v>2049</v>
      </c>
      <c r="C2051" s="61" t="s">
        <v>5303</v>
      </c>
      <c r="D2051" s="62" t="s">
        <v>5304</v>
      </c>
      <c r="E2051" s="63" t="s">
        <v>5305</v>
      </c>
    </row>
    <row r="2052" spans="2:5" ht="33.75" customHeight="1">
      <c r="B2052" s="60">
        <v>2050</v>
      </c>
      <c r="C2052" s="61" t="s">
        <v>5306</v>
      </c>
      <c r="D2052" s="62" t="s">
        <v>5307</v>
      </c>
      <c r="E2052" s="63"/>
    </row>
    <row r="2053" spans="2:5" ht="33.75" customHeight="1">
      <c r="B2053" s="60">
        <v>2051</v>
      </c>
      <c r="C2053" s="61" t="s">
        <v>5308</v>
      </c>
      <c r="D2053" s="62" t="s">
        <v>5309</v>
      </c>
      <c r="E2053" s="63" t="s">
        <v>5310</v>
      </c>
    </row>
    <row r="2054" spans="2:5" ht="33.75" customHeight="1">
      <c r="B2054" s="60">
        <v>2052</v>
      </c>
      <c r="C2054" s="61" t="s">
        <v>5311</v>
      </c>
      <c r="D2054" s="62" t="s">
        <v>5312</v>
      </c>
      <c r="E2054" s="63" t="s">
        <v>5313</v>
      </c>
    </row>
    <row r="2055" spans="2:5" ht="33.75" customHeight="1">
      <c r="B2055" s="60">
        <v>2053</v>
      </c>
      <c r="C2055" s="61" t="s">
        <v>5314</v>
      </c>
      <c r="D2055" s="62" t="s">
        <v>5315</v>
      </c>
      <c r="E2055" s="63" t="s">
        <v>5316</v>
      </c>
    </row>
    <row r="2056" spans="2:5" ht="33.75" customHeight="1">
      <c r="B2056" s="60">
        <v>2054</v>
      </c>
      <c r="C2056" s="61" t="s">
        <v>5317</v>
      </c>
      <c r="D2056" s="62" t="s">
        <v>5318</v>
      </c>
      <c r="E2056" s="63" t="s">
        <v>5319</v>
      </c>
    </row>
    <row r="2057" spans="2:5" ht="33.75" customHeight="1">
      <c r="B2057" s="60">
        <v>2055</v>
      </c>
      <c r="C2057" s="61" t="s">
        <v>5320</v>
      </c>
      <c r="D2057" s="62" t="s">
        <v>5321</v>
      </c>
      <c r="E2057" s="63"/>
    </row>
    <row r="2058" spans="2:5" ht="33.75" customHeight="1">
      <c r="B2058" s="60">
        <v>2056</v>
      </c>
      <c r="C2058" s="61" t="s">
        <v>5322</v>
      </c>
      <c r="D2058" s="62" t="s">
        <v>5323</v>
      </c>
      <c r="E2058" s="63"/>
    </row>
    <row r="2059" spans="2:5" ht="33.75" customHeight="1">
      <c r="B2059" s="60">
        <v>2057</v>
      </c>
      <c r="C2059" s="61" t="s">
        <v>5324</v>
      </c>
      <c r="D2059" s="62" t="s">
        <v>5325</v>
      </c>
      <c r="E2059" s="63"/>
    </row>
    <row r="2060" spans="2:5" ht="33.75" customHeight="1">
      <c r="B2060" s="60">
        <v>2058</v>
      </c>
      <c r="C2060" s="61" t="s">
        <v>5326</v>
      </c>
      <c r="D2060" s="62" t="s">
        <v>5327</v>
      </c>
      <c r="E2060" s="63" t="s">
        <v>5328</v>
      </c>
    </row>
    <row r="2061" spans="2:5" ht="33.75" customHeight="1">
      <c r="B2061" s="60">
        <v>2059</v>
      </c>
      <c r="C2061" s="61" t="s">
        <v>5329</v>
      </c>
      <c r="D2061" s="62" t="s">
        <v>5330</v>
      </c>
      <c r="E2061" s="63"/>
    </row>
    <row r="2062" spans="2:5" ht="33.75" customHeight="1">
      <c r="B2062" s="60">
        <v>2060</v>
      </c>
      <c r="C2062" s="61" t="s">
        <v>5331</v>
      </c>
      <c r="D2062" s="62" t="s">
        <v>5332</v>
      </c>
      <c r="E2062" s="63" t="s">
        <v>5333</v>
      </c>
    </row>
    <row r="2063" spans="2:5" ht="33.75" customHeight="1">
      <c r="B2063" s="60">
        <v>2061</v>
      </c>
      <c r="C2063" s="61" t="s">
        <v>5334</v>
      </c>
      <c r="D2063" s="62" t="s">
        <v>5335</v>
      </c>
      <c r="E2063" s="63" t="s">
        <v>5336</v>
      </c>
    </row>
    <row r="2064" spans="2:5" ht="33.75" customHeight="1">
      <c r="B2064" s="60">
        <v>2062</v>
      </c>
      <c r="C2064" s="61" t="s">
        <v>5337</v>
      </c>
      <c r="D2064" s="62" t="s">
        <v>5338</v>
      </c>
      <c r="E2064" s="63" t="s">
        <v>5339</v>
      </c>
    </row>
    <row r="2065" spans="2:5" ht="33.75" customHeight="1">
      <c r="B2065" s="60">
        <v>2063</v>
      </c>
      <c r="C2065" s="61" t="s">
        <v>5340</v>
      </c>
      <c r="D2065" s="62" t="s">
        <v>5341</v>
      </c>
      <c r="E2065" s="63" t="s">
        <v>5342</v>
      </c>
    </row>
    <row r="2066" spans="2:5" ht="33.75" customHeight="1">
      <c r="B2066" s="60">
        <v>2064</v>
      </c>
      <c r="C2066" s="61" t="s">
        <v>5343</v>
      </c>
      <c r="D2066" s="62" t="s">
        <v>5344</v>
      </c>
      <c r="E2066" s="63"/>
    </row>
    <row r="2067" spans="2:5" ht="33.75" customHeight="1">
      <c r="B2067" s="60">
        <v>2065</v>
      </c>
      <c r="C2067" s="61" t="s">
        <v>5345</v>
      </c>
      <c r="D2067" s="62" t="s">
        <v>5346</v>
      </c>
      <c r="E2067" s="63" t="s">
        <v>5347</v>
      </c>
    </row>
    <row r="2068" spans="2:5" ht="33.75" customHeight="1">
      <c r="B2068" s="60">
        <v>2066</v>
      </c>
      <c r="C2068" s="61" t="s">
        <v>5348</v>
      </c>
      <c r="D2068" s="62" t="s">
        <v>5349</v>
      </c>
      <c r="E2068" s="63" t="s">
        <v>5350</v>
      </c>
    </row>
    <row r="2069" spans="2:5" ht="33.75" customHeight="1">
      <c r="B2069" s="60">
        <v>2067</v>
      </c>
      <c r="C2069" s="61" t="s">
        <v>5351</v>
      </c>
      <c r="D2069" s="62" t="s">
        <v>5352</v>
      </c>
      <c r="E2069" s="63"/>
    </row>
    <row r="2070" spans="2:5" ht="33.75" customHeight="1">
      <c r="B2070" s="60">
        <v>2068</v>
      </c>
      <c r="C2070" s="61" t="s">
        <v>5353</v>
      </c>
      <c r="D2070" s="62" t="s">
        <v>5354</v>
      </c>
      <c r="E2070" s="63"/>
    </row>
    <row r="2071" spans="2:5" ht="33.75" customHeight="1">
      <c r="B2071" s="60">
        <v>2069</v>
      </c>
      <c r="C2071" s="61" t="s">
        <v>5355</v>
      </c>
      <c r="D2071" s="62" t="s">
        <v>5356</v>
      </c>
      <c r="E2071" s="63" t="s">
        <v>5357</v>
      </c>
    </row>
    <row r="2072" spans="2:5" ht="33.75" customHeight="1">
      <c r="B2072" s="60">
        <v>2070</v>
      </c>
      <c r="C2072" s="61" t="s">
        <v>5358</v>
      </c>
      <c r="D2072" s="62" t="s">
        <v>5359</v>
      </c>
      <c r="E2072" s="63" t="s">
        <v>5360</v>
      </c>
    </row>
    <row r="2073" spans="2:5" ht="33.75" customHeight="1">
      <c r="B2073" s="60">
        <v>2071</v>
      </c>
      <c r="C2073" s="61" t="s">
        <v>5361</v>
      </c>
      <c r="D2073" s="62" t="s">
        <v>5362</v>
      </c>
      <c r="E2073" s="63"/>
    </row>
    <row r="2074" spans="2:5" ht="33.75" customHeight="1">
      <c r="B2074" s="60">
        <v>2072</v>
      </c>
      <c r="C2074" s="61" t="s">
        <v>5363</v>
      </c>
      <c r="D2074" s="62" t="s">
        <v>5364</v>
      </c>
      <c r="E2074" s="63"/>
    </row>
    <row r="2075" spans="2:5" ht="33.75" customHeight="1">
      <c r="B2075" s="60">
        <v>2073</v>
      </c>
      <c r="C2075" s="61" t="s">
        <v>5365</v>
      </c>
      <c r="D2075" s="62" t="s">
        <v>5366</v>
      </c>
      <c r="E2075" s="63"/>
    </row>
    <row r="2076" spans="2:5" ht="33.75" customHeight="1">
      <c r="B2076" s="60">
        <v>2074</v>
      </c>
      <c r="C2076" s="61" t="s">
        <v>5367</v>
      </c>
      <c r="D2076" s="62" t="s">
        <v>5368</v>
      </c>
      <c r="E2076" s="63"/>
    </row>
    <row r="2077" spans="2:5" ht="33.75" customHeight="1">
      <c r="B2077" s="60">
        <v>2075</v>
      </c>
      <c r="C2077" s="61" t="s">
        <v>5369</v>
      </c>
      <c r="D2077" s="62" t="s">
        <v>5370</v>
      </c>
      <c r="E2077" s="63"/>
    </row>
    <row r="2078" spans="2:5" ht="33.75" customHeight="1">
      <c r="B2078" s="60">
        <v>2076</v>
      </c>
      <c r="C2078" s="61" t="s">
        <v>5371</v>
      </c>
      <c r="D2078" s="62" t="s">
        <v>5372</v>
      </c>
      <c r="E2078" s="63" t="s">
        <v>5373</v>
      </c>
    </row>
    <row r="2079" spans="2:5" ht="33.75" customHeight="1">
      <c r="B2079" s="60">
        <v>2077</v>
      </c>
      <c r="C2079" s="61" t="s">
        <v>5374</v>
      </c>
      <c r="D2079" s="62" t="s">
        <v>5375</v>
      </c>
      <c r="E2079" s="63" t="s">
        <v>5376</v>
      </c>
    </row>
    <row r="2080" spans="2:5" ht="33.75" customHeight="1">
      <c r="B2080" s="60">
        <v>2078</v>
      </c>
      <c r="C2080" s="61" t="s">
        <v>5377</v>
      </c>
      <c r="D2080" s="62" t="s">
        <v>5378</v>
      </c>
      <c r="E2080" s="63" t="s">
        <v>5379</v>
      </c>
    </row>
    <row r="2081" spans="2:5" ht="33.75" customHeight="1">
      <c r="B2081" s="60">
        <v>2079</v>
      </c>
      <c r="C2081" s="61" t="s">
        <v>5380</v>
      </c>
      <c r="D2081" s="62" t="s">
        <v>5381</v>
      </c>
      <c r="E2081" s="63" t="s">
        <v>5382</v>
      </c>
    </row>
    <row r="2082" spans="2:5" ht="33.75" customHeight="1">
      <c r="B2082" s="60">
        <v>2080</v>
      </c>
      <c r="C2082" s="61" t="s">
        <v>5383</v>
      </c>
      <c r="D2082" s="62" t="s">
        <v>5384</v>
      </c>
      <c r="E2082" s="63" t="s">
        <v>5385</v>
      </c>
    </row>
    <row r="2083" spans="2:5" ht="33.75" customHeight="1">
      <c r="B2083" s="60">
        <v>2081</v>
      </c>
      <c r="C2083" s="61" t="s">
        <v>5386</v>
      </c>
      <c r="D2083" s="62" t="s">
        <v>5387</v>
      </c>
      <c r="E2083" s="63"/>
    </row>
    <row r="2084" spans="2:5" ht="33.75" customHeight="1">
      <c r="B2084" s="60">
        <v>2082</v>
      </c>
      <c r="C2084" s="61" t="s">
        <v>5388</v>
      </c>
      <c r="D2084" s="62" t="s">
        <v>5389</v>
      </c>
      <c r="E2084" s="63"/>
    </row>
    <row r="2085" spans="2:5" ht="33.75" customHeight="1">
      <c r="B2085" s="60">
        <v>2083</v>
      </c>
      <c r="C2085" s="61" t="s">
        <v>5390</v>
      </c>
      <c r="D2085" s="62" t="s">
        <v>5391</v>
      </c>
      <c r="E2085" s="63"/>
    </row>
    <row r="2086" spans="2:5" ht="33.75" customHeight="1">
      <c r="B2086" s="60">
        <v>2084</v>
      </c>
      <c r="C2086" s="61" t="s">
        <v>5392</v>
      </c>
      <c r="D2086" s="62" t="s">
        <v>5393</v>
      </c>
      <c r="E2086" s="63" t="s">
        <v>5394</v>
      </c>
    </row>
    <row r="2087" spans="2:5" ht="33.75" customHeight="1">
      <c r="B2087" s="60">
        <v>2085</v>
      </c>
      <c r="C2087" s="61" t="s">
        <v>5395</v>
      </c>
      <c r="D2087" s="62" t="s">
        <v>5396</v>
      </c>
      <c r="E2087" s="63" t="s">
        <v>5397</v>
      </c>
    </row>
    <row r="2088" spans="2:5" ht="33.75" customHeight="1">
      <c r="B2088" s="60">
        <v>2086</v>
      </c>
      <c r="C2088" s="61" t="s">
        <v>5398</v>
      </c>
      <c r="D2088" s="62" t="s">
        <v>5399</v>
      </c>
      <c r="E2088" s="63" t="s">
        <v>5400</v>
      </c>
    </row>
    <row r="2089" spans="2:5" ht="33.75" customHeight="1">
      <c r="B2089" s="60">
        <v>2087</v>
      </c>
      <c r="C2089" s="61" t="s">
        <v>5401</v>
      </c>
      <c r="D2089" s="62" t="s">
        <v>5402</v>
      </c>
      <c r="E2089" s="63" t="s">
        <v>5403</v>
      </c>
    </row>
    <row r="2090" spans="2:5" ht="33.75" customHeight="1">
      <c r="B2090" s="60">
        <v>2088</v>
      </c>
      <c r="C2090" s="61" t="s">
        <v>5404</v>
      </c>
      <c r="D2090" s="62" t="s">
        <v>5364</v>
      </c>
      <c r="E2090" s="63"/>
    </row>
    <row r="2091" spans="2:5" ht="33.75" customHeight="1">
      <c r="B2091" s="60">
        <v>2089</v>
      </c>
      <c r="C2091" s="61" t="s">
        <v>5405</v>
      </c>
      <c r="D2091" s="62" t="s">
        <v>5366</v>
      </c>
      <c r="E2091" s="63"/>
    </row>
    <row r="2092" spans="2:5" ht="33.75" customHeight="1">
      <c r="B2092" s="60">
        <v>2090</v>
      </c>
      <c r="C2092" s="61" t="s">
        <v>5406</v>
      </c>
      <c r="D2092" s="62" t="s">
        <v>5407</v>
      </c>
      <c r="E2092" s="63"/>
    </row>
    <row r="2093" spans="2:5" ht="33.75" customHeight="1">
      <c r="B2093" s="60">
        <v>2091</v>
      </c>
      <c r="C2093" s="61" t="s">
        <v>5408</v>
      </c>
      <c r="D2093" s="62" t="s">
        <v>5370</v>
      </c>
      <c r="E2093" s="63"/>
    </row>
    <row r="2094" spans="2:5" ht="33.75" customHeight="1">
      <c r="B2094" s="60">
        <v>2092</v>
      </c>
      <c r="C2094" s="61" t="s">
        <v>5409</v>
      </c>
      <c r="D2094" s="62" t="s">
        <v>5372</v>
      </c>
      <c r="E2094" s="63"/>
    </row>
    <row r="2095" spans="2:5" ht="33.75" customHeight="1">
      <c r="B2095" s="60">
        <v>2093</v>
      </c>
      <c r="C2095" s="61" t="s">
        <v>5410</v>
      </c>
      <c r="D2095" s="62" t="s">
        <v>5375</v>
      </c>
      <c r="E2095" s="63"/>
    </row>
    <row r="2096" spans="2:5" ht="33.75" customHeight="1">
      <c r="B2096" s="60">
        <v>2094</v>
      </c>
      <c r="C2096" s="61" t="s">
        <v>5411</v>
      </c>
      <c r="D2096" s="62" t="s">
        <v>5412</v>
      </c>
      <c r="E2096" s="63" t="s">
        <v>5413</v>
      </c>
    </row>
    <row r="2097" spans="2:5" ht="33.75" customHeight="1">
      <c r="B2097" s="60">
        <v>2095</v>
      </c>
      <c r="C2097" s="61" t="s">
        <v>5414</v>
      </c>
      <c r="D2097" s="62" t="s">
        <v>5378</v>
      </c>
      <c r="E2097" s="63"/>
    </row>
    <row r="2098" spans="2:5" ht="33.75" customHeight="1">
      <c r="B2098" s="60">
        <v>2096</v>
      </c>
      <c r="C2098" s="61" t="s">
        <v>5415</v>
      </c>
      <c r="D2098" s="62" t="s">
        <v>5384</v>
      </c>
      <c r="E2098" s="63"/>
    </row>
    <row r="2099" spans="2:5" ht="33.75" customHeight="1">
      <c r="B2099" s="60">
        <v>2097</v>
      </c>
      <c r="C2099" s="61" t="s">
        <v>5416</v>
      </c>
      <c r="D2099" s="62" t="s">
        <v>5387</v>
      </c>
      <c r="E2099" s="63"/>
    </row>
    <row r="2100" spans="2:5" ht="33.75" customHeight="1">
      <c r="B2100" s="60">
        <v>2098</v>
      </c>
      <c r="C2100" s="61" t="s">
        <v>5417</v>
      </c>
      <c r="D2100" s="62" t="s">
        <v>5389</v>
      </c>
      <c r="E2100" s="63"/>
    </row>
    <row r="2101" spans="2:5" ht="33.75" customHeight="1">
      <c r="B2101" s="60">
        <v>2099</v>
      </c>
      <c r="C2101" s="61" t="s">
        <v>5418</v>
      </c>
      <c r="D2101" s="62" t="s">
        <v>5391</v>
      </c>
      <c r="E2101" s="63"/>
    </row>
    <row r="2102" spans="2:5" ht="33.75" customHeight="1">
      <c r="B2102" s="60">
        <v>2100</v>
      </c>
      <c r="C2102" s="61" t="s">
        <v>5419</v>
      </c>
      <c r="D2102" s="62" t="s">
        <v>5393</v>
      </c>
      <c r="E2102" s="63"/>
    </row>
    <row r="2103" spans="2:5" ht="33.75" customHeight="1">
      <c r="B2103" s="60">
        <v>2101</v>
      </c>
      <c r="C2103" s="61" t="s">
        <v>5420</v>
      </c>
      <c r="D2103" s="62" t="s">
        <v>5421</v>
      </c>
      <c r="E2103" s="63" t="s">
        <v>5422</v>
      </c>
    </row>
    <row r="2104" spans="2:5" ht="33.75" customHeight="1">
      <c r="B2104" s="60">
        <v>2102</v>
      </c>
      <c r="C2104" s="61" t="s">
        <v>5423</v>
      </c>
      <c r="D2104" s="62" t="s">
        <v>5396</v>
      </c>
      <c r="E2104" s="63"/>
    </row>
    <row r="2105" spans="2:5" ht="33.75" customHeight="1">
      <c r="B2105" s="60">
        <v>2103</v>
      </c>
      <c r="C2105" s="61" t="s">
        <v>5424</v>
      </c>
      <c r="D2105" s="62" t="s">
        <v>5399</v>
      </c>
      <c r="E2105" s="63"/>
    </row>
    <row r="2106" spans="2:5" ht="33.75" customHeight="1">
      <c r="B2106" s="60">
        <v>2104</v>
      </c>
      <c r="C2106" s="61" t="s">
        <v>5425</v>
      </c>
      <c r="D2106" s="62" t="s">
        <v>5426</v>
      </c>
      <c r="E2106" s="63" t="s">
        <v>5427</v>
      </c>
    </row>
    <row r="2107" spans="2:5" ht="33.75" customHeight="1">
      <c r="B2107" s="60">
        <v>2105</v>
      </c>
      <c r="C2107" s="61" t="s">
        <v>5428</v>
      </c>
      <c r="D2107" s="62" t="s">
        <v>5429</v>
      </c>
      <c r="E2107" s="63"/>
    </row>
    <row r="2108" spans="2:5" ht="33.75" customHeight="1">
      <c r="B2108" s="60">
        <v>2106</v>
      </c>
      <c r="C2108" s="61" t="s">
        <v>5430</v>
      </c>
      <c r="D2108" s="62" t="s">
        <v>5366</v>
      </c>
      <c r="E2108" s="63"/>
    </row>
    <row r="2109" spans="2:5" ht="33.75" customHeight="1">
      <c r="B2109" s="60">
        <v>2107</v>
      </c>
      <c r="C2109" s="61" t="s">
        <v>5431</v>
      </c>
      <c r="D2109" s="62" t="s">
        <v>5432</v>
      </c>
      <c r="E2109" s="63"/>
    </row>
    <row r="2110" spans="2:5" ht="33.75" customHeight="1">
      <c r="B2110" s="60">
        <v>2108</v>
      </c>
      <c r="C2110" s="61" t="s">
        <v>5433</v>
      </c>
      <c r="D2110" s="62" t="s">
        <v>5434</v>
      </c>
      <c r="E2110" s="63"/>
    </row>
    <row r="2111" spans="2:5" ht="33.75" customHeight="1">
      <c r="B2111" s="60">
        <v>2109</v>
      </c>
      <c r="C2111" s="61" t="s">
        <v>5435</v>
      </c>
      <c r="D2111" s="62" t="s">
        <v>5436</v>
      </c>
      <c r="E2111" s="63"/>
    </row>
    <row r="2112" spans="2:5" ht="33.75" customHeight="1">
      <c r="B2112" s="60">
        <v>2110</v>
      </c>
      <c r="C2112" s="61" t="s">
        <v>5437</v>
      </c>
      <c r="D2112" s="62" t="s">
        <v>5375</v>
      </c>
      <c r="E2112" s="63" t="s">
        <v>5438</v>
      </c>
    </row>
    <row r="2113" spans="2:5" ht="33.75" customHeight="1">
      <c r="B2113" s="60">
        <v>2111</v>
      </c>
      <c r="C2113" s="61" t="s">
        <v>5439</v>
      </c>
      <c r="D2113" s="62" t="s">
        <v>5440</v>
      </c>
      <c r="E2113" s="63" t="s">
        <v>5441</v>
      </c>
    </row>
    <row r="2114" spans="2:5" ht="33.75" customHeight="1">
      <c r="B2114" s="60">
        <v>2112</v>
      </c>
      <c r="C2114" s="61" t="s">
        <v>5442</v>
      </c>
      <c r="D2114" s="62" t="s">
        <v>5443</v>
      </c>
      <c r="E2114" s="63" t="s">
        <v>5444</v>
      </c>
    </row>
    <row r="2115" spans="2:5" ht="33.75" customHeight="1">
      <c r="B2115" s="60">
        <v>2113</v>
      </c>
      <c r="C2115" s="61" t="s">
        <v>5445</v>
      </c>
      <c r="D2115" s="62" t="s">
        <v>5446</v>
      </c>
      <c r="E2115" s="63"/>
    </row>
    <row r="2116" spans="2:5" ht="33.75" customHeight="1">
      <c r="B2116" s="60">
        <v>2114</v>
      </c>
      <c r="C2116" s="61" t="s">
        <v>5447</v>
      </c>
      <c r="D2116" s="62" t="s">
        <v>5448</v>
      </c>
      <c r="E2116" s="63"/>
    </row>
    <row r="2117" spans="2:5" ht="33.75" customHeight="1">
      <c r="B2117" s="60">
        <v>2115</v>
      </c>
      <c r="C2117" s="61" t="s">
        <v>5449</v>
      </c>
      <c r="D2117" s="62" t="s">
        <v>5450</v>
      </c>
      <c r="E2117" s="63"/>
    </row>
    <row r="2118" spans="2:5" ht="33.75" customHeight="1">
      <c r="B2118" s="60">
        <v>2116</v>
      </c>
      <c r="C2118" s="61" t="s">
        <v>5451</v>
      </c>
      <c r="D2118" s="62" t="s">
        <v>5452</v>
      </c>
      <c r="E2118" s="63" t="s">
        <v>5453</v>
      </c>
    </row>
    <row r="2119" spans="2:5" ht="33.75" customHeight="1">
      <c r="B2119" s="60">
        <v>2117</v>
      </c>
      <c r="C2119" s="61" t="s">
        <v>5454</v>
      </c>
      <c r="D2119" s="62" t="s">
        <v>5455</v>
      </c>
      <c r="E2119" s="63" t="s">
        <v>5456</v>
      </c>
    </row>
    <row r="2120" spans="2:5" ht="33.75" customHeight="1">
      <c r="B2120" s="60">
        <v>2118</v>
      </c>
      <c r="C2120" s="61" t="s">
        <v>5457</v>
      </c>
      <c r="D2120" s="62" t="s">
        <v>5458</v>
      </c>
      <c r="E2120" s="63" t="s">
        <v>5459</v>
      </c>
    </row>
    <row r="2121" spans="2:5" ht="33.75" customHeight="1">
      <c r="B2121" s="60">
        <v>2119</v>
      </c>
      <c r="C2121" s="61" t="s">
        <v>5460</v>
      </c>
      <c r="D2121" s="62" t="s">
        <v>5461</v>
      </c>
      <c r="E2121" s="63" t="s">
        <v>5462</v>
      </c>
    </row>
    <row r="2122" spans="2:5" ht="33.75" customHeight="1">
      <c r="B2122" s="60">
        <v>2120</v>
      </c>
      <c r="C2122" s="61" t="s">
        <v>5463</v>
      </c>
      <c r="D2122" s="62" t="s">
        <v>5464</v>
      </c>
      <c r="E2122" s="63"/>
    </row>
    <row r="2123" spans="2:5" ht="33.75" customHeight="1">
      <c r="B2123" s="60">
        <v>2121</v>
      </c>
      <c r="C2123" s="61" t="s">
        <v>5465</v>
      </c>
      <c r="D2123" s="62" t="s">
        <v>5429</v>
      </c>
      <c r="E2123" s="63"/>
    </row>
    <row r="2124" spans="2:5" ht="33.75" customHeight="1">
      <c r="B2124" s="60">
        <v>2122</v>
      </c>
      <c r="C2124" s="61" t="s">
        <v>5466</v>
      </c>
      <c r="D2124" s="62" t="s">
        <v>5366</v>
      </c>
      <c r="E2124" s="63"/>
    </row>
    <row r="2125" spans="2:5" ht="33.75" customHeight="1">
      <c r="B2125" s="60">
        <v>2123</v>
      </c>
      <c r="C2125" s="61" t="s">
        <v>5467</v>
      </c>
      <c r="D2125" s="62" t="s">
        <v>5468</v>
      </c>
      <c r="E2125" s="63" t="s">
        <v>5469</v>
      </c>
    </row>
    <row r="2126" spans="2:5" ht="33.75" customHeight="1">
      <c r="B2126" s="60">
        <v>2124</v>
      </c>
      <c r="C2126" s="61" t="s">
        <v>5470</v>
      </c>
      <c r="D2126" s="62" t="s">
        <v>5471</v>
      </c>
      <c r="E2126" s="63" t="s">
        <v>5472</v>
      </c>
    </row>
    <row r="2127" spans="2:5" ht="33.75" customHeight="1">
      <c r="B2127" s="60">
        <v>2125</v>
      </c>
      <c r="C2127" s="61" t="s">
        <v>5473</v>
      </c>
      <c r="D2127" s="62" t="s">
        <v>5436</v>
      </c>
      <c r="E2127" s="63"/>
    </row>
    <row r="2128" spans="2:5" ht="33.75" customHeight="1">
      <c r="B2128" s="60">
        <v>2126</v>
      </c>
      <c r="C2128" s="61" t="s">
        <v>5474</v>
      </c>
      <c r="D2128" s="62" t="s">
        <v>5475</v>
      </c>
      <c r="E2128" s="63" t="s">
        <v>5476</v>
      </c>
    </row>
    <row r="2129" spans="2:5" ht="33.75" customHeight="1">
      <c r="B2129" s="60">
        <v>2127</v>
      </c>
      <c r="C2129" s="61" t="s">
        <v>5477</v>
      </c>
      <c r="D2129" s="62" t="s">
        <v>5440</v>
      </c>
      <c r="E2129" s="63"/>
    </row>
    <row r="2130" spans="2:5" ht="33.75" customHeight="1">
      <c r="B2130" s="60">
        <v>2128</v>
      </c>
      <c r="C2130" s="61" t="s">
        <v>5478</v>
      </c>
      <c r="D2130" s="62" t="s">
        <v>5443</v>
      </c>
      <c r="E2130" s="63"/>
    </row>
    <row r="2131" spans="2:5" ht="33.75" customHeight="1">
      <c r="B2131" s="60">
        <v>2129</v>
      </c>
      <c r="C2131" s="61" t="s">
        <v>5479</v>
      </c>
      <c r="D2131" s="62" t="s">
        <v>5446</v>
      </c>
      <c r="E2131" s="63"/>
    </row>
    <row r="2132" spans="2:5" ht="33.75" customHeight="1">
      <c r="B2132" s="60">
        <v>2130</v>
      </c>
      <c r="C2132" s="61" t="s">
        <v>5480</v>
      </c>
      <c r="D2132" s="62" t="s">
        <v>5448</v>
      </c>
      <c r="E2132" s="63"/>
    </row>
    <row r="2133" spans="2:5" ht="33.75" customHeight="1">
      <c r="B2133" s="60">
        <v>2131</v>
      </c>
      <c r="C2133" s="61" t="s">
        <v>5481</v>
      </c>
      <c r="D2133" s="62" t="s">
        <v>5482</v>
      </c>
      <c r="E2133" s="63" t="s">
        <v>5483</v>
      </c>
    </row>
    <row r="2134" spans="2:5" ht="33.75" customHeight="1">
      <c r="B2134" s="60">
        <v>2132</v>
      </c>
      <c r="C2134" s="61" t="s">
        <v>5484</v>
      </c>
      <c r="D2134" s="62" t="s">
        <v>5452</v>
      </c>
      <c r="E2134" s="63"/>
    </row>
    <row r="2135" spans="2:5" ht="33.75" customHeight="1">
      <c r="B2135" s="60">
        <v>2133</v>
      </c>
      <c r="C2135" s="61" t="s">
        <v>5485</v>
      </c>
      <c r="D2135" s="62" t="s">
        <v>5486</v>
      </c>
      <c r="E2135" s="63" t="s">
        <v>5487</v>
      </c>
    </row>
    <row r="2136" spans="2:5" ht="33.75" customHeight="1">
      <c r="B2136" s="60">
        <v>2134</v>
      </c>
      <c r="C2136" s="61" t="s">
        <v>5488</v>
      </c>
      <c r="D2136" s="62" t="s">
        <v>5458</v>
      </c>
      <c r="E2136" s="63"/>
    </row>
    <row r="2137" spans="2:5" ht="33.75" customHeight="1">
      <c r="B2137" s="60">
        <v>2135</v>
      </c>
      <c r="C2137" s="61" t="s">
        <v>5489</v>
      </c>
      <c r="D2137" s="62" t="s">
        <v>5461</v>
      </c>
      <c r="E2137" s="63"/>
    </row>
    <row r="2138" spans="2:5" ht="33.75" customHeight="1">
      <c r="B2138" s="60">
        <v>2136</v>
      </c>
      <c r="C2138" s="61" t="s">
        <v>5490</v>
      </c>
      <c r="D2138" s="62" t="s">
        <v>5464</v>
      </c>
      <c r="E2138" s="63" t="s">
        <v>5491</v>
      </c>
    </row>
    <row r="2139" spans="2:5" ht="33.75" customHeight="1">
      <c r="B2139" s="60">
        <v>2137</v>
      </c>
      <c r="C2139" s="61" t="s">
        <v>5492</v>
      </c>
      <c r="D2139" s="62" t="s">
        <v>5493</v>
      </c>
      <c r="E2139" s="63"/>
    </row>
    <row r="2140" spans="2:5" ht="33.75" customHeight="1">
      <c r="B2140" s="60">
        <v>2138</v>
      </c>
      <c r="C2140" s="61" t="s">
        <v>5494</v>
      </c>
      <c r="D2140" s="62" t="s">
        <v>5495</v>
      </c>
      <c r="E2140" s="63"/>
    </row>
    <row r="2141" spans="2:5" ht="33.75" customHeight="1">
      <c r="B2141" s="60">
        <v>2139</v>
      </c>
      <c r="C2141" s="61" t="s">
        <v>5496</v>
      </c>
      <c r="D2141" s="62" t="s">
        <v>5497</v>
      </c>
      <c r="E2141" s="63" t="s">
        <v>5498</v>
      </c>
    </row>
    <row r="2142" spans="2:5" ht="33.75" customHeight="1">
      <c r="B2142" s="60">
        <v>2140</v>
      </c>
      <c r="C2142" s="61" t="s">
        <v>5499</v>
      </c>
      <c r="D2142" s="62" t="s">
        <v>5500</v>
      </c>
      <c r="E2142" s="63" t="s">
        <v>5501</v>
      </c>
    </row>
    <row r="2143" spans="2:5" ht="33.75" customHeight="1">
      <c r="B2143" s="60">
        <v>2141</v>
      </c>
      <c r="C2143" s="61" t="s">
        <v>5502</v>
      </c>
      <c r="D2143" s="62" t="s">
        <v>5503</v>
      </c>
      <c r="E2143" s="63" t="s">
        <v>5504</v>
      </c>
    </row>
    <row r="2144" spans="2:5" ht="33.75" customHeight="1">
      <c r="B2144" s="60">
        <v>2142</v>
      </c>
      <c r="C2144" s="61" t="s">
        <v>5505</v>
      </c>
      <c r="D2144" s="62" t="s">
        <v>5506</v>
      </c>
      <c r="E2144" s="63"/>
    </row>
    <row r="2145" spans="2:5" ht="33.75" customHeight="1">
      <c r="B2145" s="60">
        <v>2143</v>
      </c>
      <c r="C2145" s="61" t="s">
        <v>5507</v>
      </c>
      <c r="D2145" s="62" t="s">
        <v>5508</v>
      </c>
      <c r="E2145" s="63" t="s">
        <v>5509</v>
      </c>
    </row>
    <row r="2146" spans="2:5" ht="33.75" customHeight="1">
      <c r="B2146" s="60">
        <v>2144</v>
      </c>
      <c r="C2146" s="61" t="s">
        <v>5510</v>
      </c>
      <c r="D2146" s="62" t="s">
        <v>5511</v>
      </c>
      <c r="E2146" s="63" t="s">
        <v>5512</v>
      </c>
    </row>
    <row r="2147" spans="2:5" ht="33.75" customHeight="1">
      <c r="B2147" s="60">
        <v>2145</v>
      </c>
      <c r="C2147" s="61" t="s">
        <v>5513</v>
      </c>
      <c r="D2147" s="62" t="s">
        <v>5514</v>
      </c>
      <c r="E2147" s="63" t="s">
        <v>5515</v>
      </c>
    </row>
    <row r="2148" spans="2:5" ht="33.75" customHeight="1">
      <c r="B2148" s="60">
        <v>2146</v>
      </c>
      <c r="C2148" s="61" t="s">
        <v>5516</v>
      </c>
      <c r="D2148" s="62" t="s">
        <v>5517</v>
      </c>
      <c r="E2148" s="63"/>
    </row>
    <row r="2149" spans="2:5" ht="33.75" customHeight="1">
      <c r="B2149" s="60">
        <v>2147</v>
      </c>
      <c r="C2149" s="61" t="s">
        <v>5518</v>
      </c>
      <c r="D2149" s="62" t="s">
        <v>5519</v>
      </c>
      <c r="E2149" s="63"/>
    </row>
    <row r="2150" spans="2:5" ht="33.75" customHeight="1">
      <c r="B2150" s="60">
        <v>2148</v>
      </c>
      <c r="C2150" s="61" t="s">
        <v>5520</v>
      </c>
      <c r="D2150" s="62" t="s">
        <v>5521</v>
      </c>
      <c r="E2150" s="63"/>
    </row>
    <row r="2151" spans="2:5" ht="33.75" customHeight="1">
      <c r="B2151" s="60">
        <v>2149</v>
      </c>
      <c r="C2151" s="61" t="s">
        <v>5522</v>
      </c>
      <c r="D2151" s="62" t="s">
        <v>5523</v>
      </c>
      <c r="E2151" s="63" t="s">
        <v>5524</v>
      </c>
    </row>
    <row r="2152" spans="2:5" ht="33.75" customHeight="1">
      <c r="B2152" s="60">
        <v>2150</v>
      </c>
      <c r="C2152" s="61" t="s">
        <v>5525</v>
      </c>
      <c r="D2152" s="62" t="s">
        <v>5526</v>
      </c>
      <c r="E2152" s="63" t="s">
        <v>5527</v>
      </c>
    </row>
    <row r="2153" spans="2:5" ht="33.75" customHeight="1">
      <c r="B2153" s="60">
        <v>2151</v>
      </c>
      <c r="C2153" s="61" t="s">
        <v>5528</v>
      </c>
      <c r="D2153" s="62" t="s">
        <v>5529</v>
      </c>
      <c r="E2153" s="63" t="s">
        <v>5530</v>
      </c>
    </row>
    <row r="2154" spans="2:5" ht="33.75" customHeight="1">
      <c r="B2154" s="60">
        <v>2152</v>
      </c>
      <c r="C2154" s="61" t="s">
        <v>5531</v>
      </c>
      <c r="D2154" s="62" t="s">
        <v>5532</v>
      </c>
      <c r="E2154" s="63" t="s">
        <v>5533</v>
      </c>
    </row>
    <row r="2155" spans="2:5" ht="33.75" customHeight="1">
      <c r="B2155" s="60">
        <v>2153</v>
      </c>
      <c r="C2155" s="61" t="s">
        <v>5534</v>
      </c>
      <c r="D2155" s="62" t="s">
        <v>5535</v>
      </c>
      <c r="E2155" s="63"/>
    </row>
    <row r="2156" spans="2:5" ht="33.75" customHeight="1">
      <c r="B2156" s="60">
        <v>2154</v>
      </c>
      <c r="C2156" s="61" t="s">
        <v>5536</v>
      </c>
      <c r="D2156" s="62" t="s">
        <v>5537</v>
      </c>
      <c r="E2156" s="63"/>
    </row>
    <row r="2157" spans="2:5" ht="33.75" customHeight="1">
      <c r="B2157" s="60">
        <v>2155</v>
      </c>
      <c r="C2157" s="61" t="s">
        <v>5538</v>
      </c>
      <c r="D2157" s="62" t="s">
        <v>5539</v>
      </c>
      <c r="E2157" s="63" t="s">
        <v>5540</v>
      </c>
    </row>
    <row r="2158" spans="2:5" ht="33.75" customHeight="1">
      <c r="B2158" s="60">
        <v>2156</v>
      </c>
      <c r="C2158" s="61" t="s">
        <v>5541</v>
      </c>
      <c r="D2158" s="62" t="s">
        <v>5542</v>
      </c>
      <c r="E2158" s="63" t="s">
        <v>5543</v>
      </c>
    </row>
    <row r="2159" spans="2:5" ht="33.75" customHeight="1">
      <c r="B2159" s="60">
        <v>2157</v>
      </c>
      <c r="C2159" s="61" t="s">
        <v>5544</v>
      </c>
      <c r="D2159" s="62" t="s">
        <v>5545</v>
      </c>
      <c r="E2159" s="63" t="s">
        <v>5546</v>
      </c>
    </row>
    <row r="2160" spans="2:5" ht="33.75" customHeight="1">
      <c r="B2160" s="60">
        <v>2158</v>
      </c>
      <c r="C2160" s="61" t="s">
        <v>5547</v>
      </c>
      <c r="D2160" s="62" t="s">
        <v>5548</v>
      </c>
      <c r="E2160" s="63" t="s">
        <v>5549</v>
      </c>
    </row>
    <row r="2161" spans="2:5" ht="33.75" customHeight="1">
      <c r="B2161" s="60">
        <v>2159</v>
      </c>
      <c r="C2161" s="61" t="s">
        <v>5550</v>
      </c>
      <c r="D2161" s="62" t="s">
        <v>5551</v>
      </c>
      <c r="E2161" s="63" t="s">
        <v>5552</v>
      </c>
    </row>
    <row r="2162" spans="2:5" ht="33.75" customHeight="1">
      <c r="B2162" s="60">
        <v>2160</v>
      </c>
      <c r="C2162" s="61" t="s">
        <v>5553</v>
      </c>
      <c r="D2162" s="62" t="s">
        <v>5554</v>
      </c>
      <c r="E2162" s="63" t="s">
        <v>5555</v>
      </c>
    </row>
    <row r="2163" spans="2:5" ht="33.75" customHeight="1">
      <c r="B2163" s="60">
        <v>2161</v>
      </c>
      <c r="C2163" s="61" t="s">
        <v>5556</v>
      </c>
      <c r="D2163" s="62" t="s">
        <v>5557</v>
      </c>
      <c r="E2163" s="63" t="s">
        <v>5558</v>
      </c>
    </row>
    <row r="2164" spans="2:5" ht="33.75" customHeight="1">
      <c r="B2164" s="60">
        <v>2162</v>
      </c>
      <c r="C2164" s="61" t="s">
        <v>5559</v>
      </c>
      <c r="D2164" s="62" t="s">
        <v>5560</v>
      </c>
      <c r="E2164" s="63"/>
    </row>
    <row r="2165" spans="2:5" ht="33.75" customHeight="1">
      <c r="B2165" s="60">
        <v>2163</v>
      </c>
      <c r="C2165" s="61" t="s">
        <v>5561</v>
      </c>
      <c r="D2165" s="62" t="s">
        <v>5562</v>
      </c>
      <c r="E2165" s="63" t="s">
        <v>5563</v>
      </c>
    </row>
    <row r="2166" spans="2:5" ht="33.75" customHeight="1">
      <c r="B2166" s="60">
        <v>2164</v>
      </c>
      <c r="C2166" s="61" t="s">
        <v>5564</v>
      </c>
      <c r="D2166" s="62" t="s">
        <v>5565</v>
      </c>
      <c r="E2166" s="63" t="s">
        <v>5566</v>
      </c>
    </row>
    <row r="2167" spans="2:5" ht="33.75" customHeight="1">
      <c r="B2167" s="60">
        <v>2165</v>
      </c>
      <c r="C2167" s="61" t="s">
        <v>5567</v>
      </c>
      <c r="D2167" s="62" t="s">
        <v>5568</v>
      </c>
      <c r="E2167" s="63" t="s">
        <v>5569</v>
      </c>
    </row>
    <row r="2168" spans="2:5" ht="33.75" customHeight="1">
      <c r="B2168" s="60">
        <v>2166</v>
      </c>
      <c r="C2168" s="61" t="s">
        <v>5570</v>
      </c>
      <c r="D2168" s="62" t="s">
        <v>5571</v>
      </c>
      <c r="E2168" s="63" t="s">
        <v>5572</v>
      </c>
    </row>
    <row r="2169" spans="2:5" ht="33.75" customHeight="1">
      <c r="B2169" s="60">
        <v>2167</v>
      </c>
      <c r="C2169" s="61" t="s">
        <v>5573</v>
      </c>
      <c r="D2169" s="62" t="s">
        <v>5574</v>
      </c>
      <c r="E2169" s="63" t="s">
        <v>5575</v>
      </c>
    </row>
    <row r="2170" spans="2:5" ht="33.75" customHeight="1">
      <c r="B2170" s="60">
        <v>2168</v>
      </c>
      <c r="C2170" s="61" t="s">
        <v>5576</v>
      </c>
      <c r="D2170" s="62" t="s">
        <v>5577</v>
      </c>
      <c r="E2170" s="63" t="s">
        <v>5578</v>
      </c>
    </row>
    <row r="2171" spans="2:5" ht="33.75" customHeight="1">
      <c r="B2171" s="60">
        <v>2169</v>
      </c>
      <c r="C2171" s="61" t="s">
        <v>5579</v>
      </c>
      <c r="D2171" s="62" t="s">
        <v>5580</v>
      </c>
      <c r="E2171" s="63"/>
    </row>
    <row r="2172" spans="2:5" ht="33.75" customHeight="1">
      <c r="B2172" s="60">
        <v>2170</v>
      </c>
      <c r="C2172" s="61" t="s">
        <v>5581</v>
      </c>
      <c r="D2172" s="62" t="s">
        <v>5582</v>
      </c>
      <c r="E2172" s="63"/>
    </row>
    <row r="2173" spans="2:5" ht="33.75" customHeight="1">
      <c r="B2173" s="60">
        <v>2171</v>
      </c>
      <c r="C2173" s="61" t="s">
        <v>5583</v>
      </c>
      <c r="D2173" s="62" t="s">
        <v>5584</v>
      </c>
      <c r="E2173" s="63"/>
    </row>
    <row r="2174" spans="2:5" ht="33.75" customHeight="1">
      <c r="B2174" s="60">
        <v>2172</v>
      </c>
      <c r="C2174" s="61" t="s">
        <v>5585</v>
      </c>
      <c r="D2174" s="62" t="s">
        <v>5586</v>
      </c>
      <c r="E2174" s="63" t="s">
        <v>5587</v>
      </c>
    </row>
    <row r="2175" spans="2:5" ht="33.75" customHeight="1">
      <c r="B2175" s="60">
        <v>2173</v>
      </c>
      <c r="C2175" s="61" t="s">
        <v>5588</v>
      </c>
      <c r="D2175" s="62" t="s">
        <v>5589</v>
      </c>
      <c r="E2175" s="63" t="s">
        <v>5590</v>
      </c>
    </row>
    <row r="2176" spans="2:5" ht="33.75" customHeight="1">
      <c r="B2176" s="60">
        <v>2174</v>
      </c>
      <c r="C2176" s="61" t="s">
        <v>5591</v>
      </c>
      <c r="D2176" s="62" t="s">
        <v>5592</v>
      </c>
      <c r="E2176" s="63"/>
    </row>
    <row r="2177" spans="2:5" ht="33.75" customHeight="1">
      <c r="B2177" s="60">
        <v>2175</v>
      </c>
      <c r="C2177" s="61" t="s">
        <v>5593</v>
      </c>
      <c r="D2177" s="62" t="s">
        <v>5574</v>
      </c>
      <c r="E2177" s="63"/>
    </row>
    <row r="2178" spans="2:5" ht="33.75" customHeight="1">
      <c r="B2178" s="60">
        <v>2176</v>
      </c>
      <c r="C2178" s="61" t="s">
        <v>5594</v>
      </c>
      <c r="D2178" s="62" t="s">
        <v>5595</v>
      </c>
      <c r="E2178" s="63" t="s">
        <v>5596</v>
      </c>
    </row>
    <row r="2179" spans="2:5" ht="33.75" customHeight="1">
      <c r="B2179" s="60">
        <v>2177</v>
      </c>
      <c r="C2179" s="61" t="s">
        <v>5597</v>
      </c>
      <c r="D2179" s="62" t="s">
        <v>5598</v>
      </c>
      <c r="E2179" s="63"/>
    </row>
    <row r="2180" spans="2:5" ht="33.75" customHeight="1">
      <c r="B2180" s="60">
        <v>2178</v>
      </c>
      <c r="C2180" s="61" t="s">
        <v>5599</v>
      </c>
      <c r="D2180" s="62" t="s">
        <v>5600</v>
      </c>
      <c r="E2180" s="63"/>
    </row>
    <row r="2181" spans="2:5" ht="33.75" customHeight="1">
      <c r="B2181" s="60">
        <v>2179</v>
      </c>
      <c r="C2181" s="61" t="s">
        <v>5601</v>
      </c>
      <c r="D2181" s="62" t="s">
        <v>5602</v>
      </c>
      <c r="E2181" s="63"/>
    </row>
    <row r="2182" spans="2:5" ht="33.75" customHeight="1">
      <c r="B2182" s="60">
        <v>2180</v>
      </c>
      <c r="C2182" s="61" t="s">
        <v>5603</v>
      </c>
      <c r="D2182" s="62" t="s">
        <v>5604</v>
      </c>
      <c r="E2182" s="63" t="s">
        <v>5605</v>
      </c>
    </row>
    <row r="2183" spans="2:5" ht="33.75" customHeight="1">
      <c r="B2183" s="60">
        <v>2181</v>
      </c>
      <c r="C2183" s="61" t="s">
        <v>5606</v>
      </c>
      <c r="D2183" s="62" t="s">
        <v>5607</v>
      </c>
      <c r="E2183" s="63"/>
    </row>
    <row r="2184" spans="2:5" ht="33.75" customHeight="1">
      <c r="B2184" s="60">
        <v>2182</v>
      </c>
      <c r="C2184" s="61" t="s">
        <v>5608</v>
      </c>
      <c r="D2184" s="62" t="s">
        <v>5609</v>
      </c>
      <c r="E2184" s="63"/>
    </row>
    <row r="2185" spans="2:5" ht="33.75" customHeight="1">
      <c r="B2185" s="60">
        <v>2183</v>
      </c>
      <c r="C2185" s="61" t="s">
        <v>5610</v>
      </c>
      <c r="D2185" s="62" t="s">
        <v>5611</v>
      </c>
      <c r="E2185" s="63" t="s">
        <v>5612</v>
      </c>
    </row>
    <row r="2186" spans="2:5" ht="33.75" customHeight="1">
      <c r="B2186" s="60">
        <v>2184</v>
      </c>
      <c r="C2186" s="61" t="s">
        <v>5613</v>
      </c>
      <c r="D2186" s="62" t="s">
        <v>5614</v>
      </c>
      <c r="E2186" s="63" t="s">
        <v>5615</v>
      </c>
    </row>
    <row r="2187" spans="2:5" ht="33.75" customHeight="1">
      <c r="B2187" s="60">
        <v>2185</v>
      </c>
      <c r="C2187" s="61" t="s">
        <v>5616</v>
      </c>
      <c r="D2187" s="62" t="s">
        <v>5617</v>
      </c>
      <c r="E2187" s="63" t="s">
        <v>5618</v>
      </c>
    </row>
    <row r="2188" spans="2:5" ht="33.75" customHeight="1">
      <c r="B2188" s="60">
        <v>2186</v>
      </c>
      <c r="C2188" s="61" t="s">
        <v>5619</v>
      </c>
      <c r="D2188" s="62" t="s">
        <v>5620</v>
      </c>
      <c r="E2188" s="63"/>
    </row>
    <row r="2189" spans="2:5" ht="33.75" customHeight="1">
      <c r="B2189" s="60">
        <v>2187</v>
      </c>
      <c r="C2189" s="61" t="s">
        <v>5621</v>
      </c>
      <c r="D2189" s="62" t="s">
        <v>5622</v>
      </c>
      <c r="E2189" s="63" t="s">
        <v>5623</v>
      </c>
    </row>
    <row r="2190" spans="2:5" ht="33.75" customHeight="1">
      <c r="B2190" s="60">
        <v>2188</v>
      </c>
      <c r="C2190" s="61" t="s">
        <v>5624</v>
      </c>
      <c r="D2190" s="62" t="s">
        <v>5625</v>
      </c>
      <c r="E2190" s="63" t="s">
        <v>5626</v>
      </c>
    </row>
    <row r="2191" spans="2:5" ht="33.75" customHeight="1">
      <c r="B2191" s="60">
        <v>2189</v>
      </c>
      <c r="C2191" s="61" t="s">
        <v>5627</v>
      </c>
      <c r="D2191" s="62" t="s">
        <v>5628</v>
      </c>
      <c r="E2191" s="63" t="s">
        <v>5629</v>
      </c>
    </row>
    <row r="2192" spans="2:5" ht="33.75" customHeight="1">
      <c r="B2192" s="60">
        <v>2190</v>
      </c>
      <c r="C2192" s="61" t="s">
        <v>5630</v>
      </c>
      <c r="D2192" s="62" t="s">
        <v>5631</v>
      </c>
      <c r="E2192" s="63" t="s">
        <v>5632</v>
      </c>
    </row>
    <row r="2193" spans="2:5" ht="33.75" customHeight="1">
      <c r="B2193" s="60">
        <v>2191</v>
      </c>
      <c r="C2193" s="61" t="s">
        <v>5633</v>
      </c>
      <c r="D2193" s="62" t="s">
        <v>5634</v>
      </c>
      <c r="E2193" s="63" t="s">
        <v>5635</v>
      </c>
    </row>
    <row r="2194" spans="2:5" ht="33.75" customHeight="1">
      <c r="B2194" s="60">
        <v>2192</v>
      </c>
      <c r="C2194" s="61" t="s">
        <v>5636</v>
      </c>
      <c r="D2194" s="62" t="s">
        <v>5637</v>
      </c>
      <c r="E2194" s="63" t="s">
        <v>5638</v>
      </c>
    </row>
    <row r="2195" spans="2:5" ht="33.75" customHeight="1">
      <c r="B2195" s="60">
        <v>2193</v>
      </c>
      <c r="C2195" s="61" t="s">
        <v>5639</v>
      </c>
      <c r="D2195" s="62" t="s">
        <v>5640</v>
      </c>
      <c r="E2195" s="63" t="s">
        <v>5641</v>
      </c>
    </row>
    <row r="2196" spans="2:5" ht="33.75" customHeight="1">
      <c r="B2196" s="60">
        <v>2194</v>
      </c>
      <c r="C2196" s="61" t="s">
        <v>5642</v>
      </c>
      <c r="D2196" s="62" t="s">
        <v>5643</v>
      </c>
      <c r="E2196" s="63"/>
    </row>
    <row r="2197" spans="2:5" ht="33.75" customHeight="1">
      <c r="B2197" s="60">
        <v>2195</v>
      </c>
      <c r="C2197" s="61" t="s">
        <v>5644</v>
      </c>
      <c r="D2197" s="62" t="s">
        <v>5645</v>
      </c>
      <c r="E2197" s="63"/>
    </row>
    <row r="2198" spans="2:5" ht="33.75" customHeight="1">
      <c r="B2198" s="60">
        <v>2196</v>
      </c>
      <c r="C2198" s="61" t="s">
        <v>5646</v>
      </c>
      <c r="D2198" s="62" t="s">
        <v>5647</v>
      </c>
      <c r="E2198" s="63" t="s">
        <v>5648</v>
      </c>
    </row>
    <row r="2199" spans="2:5" ht="33.75" customHeight="1">
      <c r="B2199" s="60">
        <v>2197</v>
      </c>
      <c r="C2199" s="61" t="s">
        <v>5649</v>
      </c>
      <c r="D2199" s="62" t="s">
        <v>5650</v>
      </c>
      <c r="E2199" s="63" t="s">
        <v>5651</v>
      </c>
    </row>
    <row r="2200" spans="2:5" ht="33.75" customHeight="1">
      <c r="B2200" s="60">
        <v>2198</v>
      </c>
      <c r="C2200" s="61" t="s">
        <v>5652</v>
      </c>
      <c r="D2200" s="62" t="s">
        <v>5653</v>
      </c>
      <c r="E2200" s="63" t="s">
        <v>5654</v>
      </c>
    </row>
    <row r="2201" spans="2:5" ht="33.75" customHeight="1">
      <c r="B2201" s="60">
        <v>2199</v>
      </c>
      <c r="C2201" s="61" t="s">
        <v>5655</v>
      </c>
      <c r="D2201" s="62" t="s">
        <v>5656</v>
      </c>
      <c r="E2201" s="63" t="s">
        <v>5657</v>
      </c>
    </row>
    <row r="2202" spans="2:5" ht="33.75" customHeight="1">
      <c r="B2202" s="60">
        <v>2200</v>
      </c>
      <c r="C2202" s="61" t="s">
        <v>5658</v>
      </c>
      <c r="D2202" s="62" t="s">
        <v>5659</v>
      </c>
      <c r="E2202" s="63" t="s">
        <v>5660</v>
      </c>
    </row>
    <row r="2203" spans="2:5" ht="33.75" customHeight="1">
      <c r="B2203" s="60">
        <v>2201</v>
      </c>
      <c r="C2203" s="61" t="s">
        <v>5661</v>
      </c>
      <c r="D2203" s="62" t="s">
        <v>5662</v>
      </c>
      <c r="E2203" s="63" t="s">
        <v>5663</v>
      </c>
    </row>
    <row r="2204" spans="2:5" ht="33.75" customHeight="1">
      <c r="B2204" s="60">
        <v>2202</v>
      </c>
      <c r="C2204" s="61" t="s">
        <v>5664</v>
      </c>
      <c r="D2204" s="62" t="s">
        <v>5665</v>
      </c>
      <c r="E2204" s="63"/>
    </row>
    <row r="2205" spans="2:5" ht="33.75" customHeight="1">
      <c r="B2205" s="60">
        <v>2203</v>
      </c>
      <c r="C2205" s="61" t="s">
        <v>5666</v>
      </c>
      <c r="D2205" s="62" t="s">
        <v>5667</v>
      </c>
      <c r="E2205" s="63"/>
    </row>
    <row r="2206" spans="2:5" ht="33.75" customHeight="1">
      <c r="B2206" s="60">
        <v>2204</v>
      </c>
      <c r="C2206" s="61" t="s">
        <v>5668</v>
      </c>
      <c r="D2206" s="62" t="s">
        <v>5669</v>
      </c>
      <c r="E2206" s="63" t="s">
        <v>5670</v>
      </c>
    </row>
    <row r="2207" spans="2:5" ht="33.75" customHeight="1">
      <c r="B2207" s="60">
        <v>2205</v>
      </c>
      <c r="C2207" s="61" t="s">
        <v>5671</v>
      </c>
      <c r="D2207" s="62" t="s">
        <v>5503</v>
      </c>
      <c r="E2207" s="63"/>
    </row>
    <row r="2208" spans="2:5" ht="33.75" customHeight="1">
      <c r="B2208" s="60">
        <v>2206</v>
      </c>
      <c r="C2208" s="61" t="s">
        <v>5672</v>
      </c>
      <c r="D2208" s="62" t="s">
        <v>5673</v>
      </c>
      <c r="E2208" s="63" t="s">
        <v>5674</v>
      </c>
    </row>
    <row r="2209" spans="2:5" ht="33.75" customHeight="1">
      <c r="B2209" s="60">
        <v>2207</v>
      </c>
      <c r="C2209" s="61" t="s">
        <v>5675</v>
      </c>
      <c r="D2209" s="62" t="s">
        <v>5676</v>
      </c>
      <c r="E2209" s="63" t="s">
        <v>5677</v>
      </c>
    </row>
    <row r="2210" spans="2:5" ht="33.75" customHeight="1">
      <c r="B2210" s="60">
        <v>2208</v>
      </c>
      <c r="C2210" s="61" t="s">
        <v>5678</v>
      </c>
      <c r="D2210" s="62" t="s">
        <v>5679</v>
      </c>
      <c r="E2210" s="63" t="s">
        <v>5680</v>
      </c>
    </row>
    <row r="2211" spans="2:5" ht="33.75" customHeight="1">
      <c r="B2211" s="60">
        <v>2209</v>
      </c>
      <c r="C2211" s="61" t="s">
        <v>5681</v>
      </c>
      <c r="D2211" s="62" t="s">
        <v>5682</v>
      </c>
      <c r="E2211" s="63" t="s">
        <v>5683</v>
      </c>
    </row>
    <row r="2212" spans="2:5" ht="33.75" customHeight="1">
      <c r="B2212" s="60">
        <v>2210</v>
      </c>
      <c r="C2212" s="61" t="s">
        <v>5684</v>
      </c>
      <c r="D2212" s="62" t="s">
        <v>5685</v>
      </c>
      <c r="E2212" s="63" t="s">
        <v>5686</v>
      </c>
    </row>
    <row r="2213" spans="2:5" ht="33.75" customHeight="1">
      <c r="B2213" s="60">
        <v>2211</v>
      </c>
      <c r="C2213" s="61" t="s">
        <v>5687</v>
      </c>
      <c r="D2213" s="62" t="s">
        <v>5688</v>
      </c>
      <c r="E2213" s="63" t="s">
        <v>5689</v>
      </c>
    </row>
    <row r="2214" spans="2:5" ht="33.75" customHeight="1">
      <c r="B2214" s="60">
        <v>2212</v>
      </c>
      <c r="C2214" s="61" t="s">
        <v>5690</v>
      </c>
      <c r="D2214" s="62" t="s">
        <v>5691</v>
      </c>
      <c r="E2214" s="63"/>
    </row>
    <row r="2215" spans="2:5" ht="33.75" customHeight="1">
      <c r="B2215" s="60">
        <v>2213</v>
      </c>
      <c r="C2215" s="61" t="s">
        <v>5692</v>
      </c>
      <c r="D2215" s="62" t="s">
        <v>5693</v>
      </c>
      <c r="E2215" s="63"/>
    </row>
    <row r="2216" spans="2:5" ht="33.75" customHeight="1">
      <c r="B2216" s="60">
        <v>2214</v>
      </c>
      <c r="C2216" s="61" t="s">
        <v>5694</v>
      </c>
      <c r="D2216" s="62" t="s">
        <v>5695</v>
      </c>
      <c r="E2216" s="63"/>
    </row>
    <row r="2217" spans="2:5" ht="33.75" customHeight="1">
      <c r="B2217" s="60">
        <v>2215</v>
      </c>
      <c r="C2217" s="61" t="s">
        <v>5696</v>
      </c>
      <c r="D2217" s="62" t="s">
        <v>5697</v>
      </c>
      <c r="E2217" s="63" t="s">
        <v>5698</v>
      </c>
    </row>
    <row r="2218" spans="2:5" ht="33.75" customHeight="1">
      <c r="B2218" s="60">
        <v>2216</v>
      </c>
      <c r="C2218" s="61" t="s">
        <v>5699</v>
      </c>
      <c r="D2218" s="62" t="s">
        <v>5700</v>
      </c>
      <c r="E2218" s="63" t="s">
        <v>5701</v>
      </c>
    </row>
    <row r="2219" spans="2:5" ht="33.75" customHeight="1">
      <c r="B2219" s="60">
        <v>2217</v>
      </c>
      <c r="C2219" s="61" t="s">
        <v>5702</v>
      </c>
      <c r="D2219" s="62" t="s">
        <v>5703</v>
      </c>
      <c r="E2219" s="63" t="s">
        <v>5704</v>
      </c>
    </row>
    <row r="2220" spans="2:5" ht="33.75" customHeight="1">
      <c r="B2220" s="60">
        <v>2218</v>
      </c>
      <c r="C2220" s="61" t="s">
        <v>5705</v>
      </c>
      <c r="D2220" s="62" t="s">
        <v>5706</v>
      </c>
      <c r="E2220" s="63" t="s">
        <v>5707</v>
      </c>
    </row>
    <row r="2221" spans="2:5" ht="33.75" customHeight="1">
      <c r="B2221" s="60">
        <v>2219</v>
      </c>
      <c r="C2221" s="61" t="s">
        <v>5708</v>
      </c>
      <c r="D2221" s="62" t="s">
        <v>5709</v>
      </c>
      <c r="E2221" s="63"/>
    </row>
    <row r="2222" spans="2:5" ht="33.75" customHeight="1">
      <c r="B2222" s="60">
        <v>2220</v>
      </c>
      <c r="C2222" s="61" t="s">
        <v>5710</v>
      </c>
      <c r="D2222" s="62" t="s">
        <v>5711</v>
      </c>
      <c r="E2222" s="63"/>
    </row>
    <row r="2223" spans="2:5" ht="33.75" customHeight="1">
      <c r="B2223" s="60">
        <v>2221</v>
      </c>
      <c r="C2223" s="61" t="s">
        <v>5712</v>
      </c>
      <c r="D2223" s="62" t="s">
        <v>5713</v>
      </c>
      <c r="E2223" s="63" t="s">
        <v>5714</v>
      </c>
    </row>
    <row r="2224" spans="2:5" ht="33.75" customHeight="1">
      <c r="B2224" s="60">
        <v>2222</v>
      </c>
      <c r="C2224" s="61" t="s">
        <v>5715</v>
      </c>
      <c r="D2224" s="62" t="s">
        <v>5716</v>
      </c>
      <c r="E2224" s="63" t="s">
        <v>5717</v>
      </c>
    </row>
    <row r="2225" spans="2:5" ht="33.75" customHeight="1">
      <c r="B2225" s="60">
        <v>2223</v>
      </c>
      <c r="C2225" s="61" t="s">
        <v>5718</v>
      </c>
      <c r="D2225" s="62" t="s">
        <v>5719</v>
      </c>
      <c r="E2225" s="63" t="s">
        <v>5720</v>
      </c>
    </row>
    <row r="2226" spans="2:5" ht="33.75" customHeight="1">
      <c r="B2226" s="60">
        <v>2224</v>
      </c>
      <c r="C2226" s="61" t="s">
        <v>5721</v>
      </c>
      <c r="D2226" s="62" t="s">
        <v>5722</v>
      </c>
      <c r="E2226" s="63" t="s">
        <v>5723</v>
      </c>
    </row>
    <row r="2227" spans="2:5" ht="33.75" customHeight="1">
      <c r="B2227" s="60">
        <v>2225</v>
      </c>
      <c r="C2227" s="61" t="s">
        <v>5724</v>
      </c>
      <c r="D2227" s="62" t="s">
        <v>5725</v>
      </c>
      <c r="E2227" s="63" t="s">
        <v>5726</v>
      </c>
    </row>
    <row r="2228" spans="2:5" ht="33.75" customHeight="1">
      <c r="B2228" s="60">
        <v>2226</v>
      </c>
      <c r="C2228" s="61" t="s">
        <v>5727</v>
      </c>
      <c r="D2228" s="62" t="s">
        <v>5728</v>
      </c>
      <c r="E2228" s="63" t="s">
        <v>5729</v>
      </c>
    </row>
    <row r="2229" spans="2:5" ht="33.75" customHeight="1">
      <c r="B2229" s="60">
        <v>2227</v>
      </c>
      <c r="C2229" s="61" t="s">
        <v>5730</v>
      </c>
      <c r="D2229" s="62" t="s">
        <v>5731</v>
      </c>
      <c r="E2229" s="63"/>
    </row>
    <row r="2230" spans="2:5" ht="33.75" customHeight="1">
      <c r="B2230" s="60">
        <v>2228</v>
      </c>
      <c r="C2230" s="61" t="s">
        <v>5732</v>
      </c>
      <c r="D2230" s="62" t="s">
        <v>5733</v>
      </c>
      <c r="E2230" s="63" t="s">
        <v>5734</v>
      </c>
    </row>
    <row r="2231" spans="2:5" ht="33.75" customHeight="1">
      <c r="B2231" s="60">
        <v>2229</v>
      </c>
      <c r="C2231" s="61" t="s">
        <v>5735</v>
      </c>
      <c r="D2231" s="62" t="s">
        <v>5736</v>
      </c>
      <c r="E2231" s="63" t="s">
        <v>5737</v>
      </c>
    </row>
    <row r="2232" spans="2:5" ht="33.75" customHeight="1">
      <c r="B2232" s="60">
        <v>2230</v>
      </c>
      <c r="C2232" s="61" t="s">
        <v>5738</v>
      </c>
      <c r="D2232" s="62" t="s">
        <v>5739</v>
      </c>
      <c r="E2232" s="63" t="s">
        <v>5740</v>
      </c>
    </row>
    <row r="2233" spans="2:5" ht="33.75" customHeight="1">
      <c r="B2233" s="60">
        <v>2231</v>
      </c>
      <c r="C2233" s="61" t="s">
        <v>5741</v>
      </c>
      <c r="D2233" s="62" t="s">
        <v>5742</v>
      </c>
      <c r="E2233" s="63" t="s">
        <v>5743</v>
      </c>
    </row>
    <row r="2234" spans="2:5" ht="33.75" customHeight="1">
      <c r="B2234" s="60">
        <v>2232</v>
      </c>
      <c r="C2234" s="61" t="s">
        <v>5744</v>
      </c>
      <c r="D2234" s="62" t="s">
        <v>5745</v>
      </c>
      <c r="E2234" s="63" t="s">
        <v>5746</v>
      </c>
    </row>
    <row r="2235" spans="2:5" ht="33.75" customHeight="1">
      <c r="B2235" s="60">
        <v>2233</v>
      </c>
      <c r="C2235" s="61" t="s">
        <v>5747</v>
      </c>
      <c r="D2235" s="62" t="s">
        <v>5748</v>
      </c>
      <c r="E2235" s="63" t="s">
        <v>5749</v>
      </c>
    </row>
    <row r="2236" spans="2:5" ht="33.75" customHeight="1">
      <c r="B2236" s="60">
        <v>2234</v>
      </c>
      <c r="C2236" s="61" t="s">
        <v>5750</v>
      </c>
      <c r="D2236" s="62" t="s">
        <v>5751</v>
      </c>
      <c r="E2236" s="63" t="s">
        <v>5752</v>
      </c>
    </row>
    <row r="2237" spans="2:5" ht="33.75" customHeight="1">
      <c r="B2237" s="60">
        <v>2235</v>
      </c>
      <c r="C2237" s="61" t="s">
        <v>5753</v>
      </c>
      <c r="D2237" s="62" t="s">
        <v>5754</v>
      </c>
      <c r="E2237" s="63" t="s">
        <v>5755</v>
      </c>
    </row>
    <row r="2238" spans="2:5" ht="33.75" customHeight="1">
      <c r="B2238" s="60">
        <v>2236</v>
      </c>
      <c r="C2238" s="61" t="s">
        <v>5756</v>
      </c>
      <c r="D2238" s="62" t="s">
        <v>5757</v>
      </c>
      <c r="E2238" s="63" t="s">
        <v>5758</v>
      </c>
    </row>
    <row r="2239" spans="2:5" ht="33.75" customHeight="1">
      <c r="B2239" s="60">
        <v>2237</v>
      </c>
      <c r="C2239" s="61" t="s">
        <v>5759</v>
      </c>
      <c r="D2239" s="62" t="s">
        <v>5760</v>
      </c>
      <c r="E2239" s="63" t="s">
        <v>5761</v>
      </c>
    </row>
    <row r="2240" spans="2:5" ht="33.75" customHeight="1">
      <c r="B2240" s="60">
        <v>2238</v>
      </c>
      <c r="C2240" s="61" t="s">
        <v>5762</v>
      </c>
      <c r="D2240" s="62" t="s">
        <v>5763</v>
      </c>
      <c r="E2240" s="63"/>
    </row>
    <row r="2241" spans="2:5" ht="33.75" customHeight="1">
      <c r="B2241" s="60">
        <v>2239</v>
      </c>
      <c r="C2241" s="61" t="s">
        <v>5764</v>
      </c>
      <c r="D2241" s="62" t="s">
        <v>5765</v>
      </c>
      <c r="E2241" s="63" t="s">
        <v>5766</v>
      </c>
    </row>
    <row r="2242" spans="2:5" ht="33.75" customHeight="1">
      <c r="B2242" s="60">
        <v>2240</v>
      </c>
      <c r="C2242" s="61" t="s">
        <v>5767</v>
      </c>
      <c r="D2242" s="62" t="s">
        <v>5768</v>
      </c>
      <c r="E2242" s="63" t="s">
        <v>5769</v>
      </c>
    </row>
    <row r="2243" spans="2:5" ht="33.75" customHeight="1">
      <c r="B2243" s="60">
        <v>2241</v>
      </c>
      <c r="C2243" s="61" t="s">
        <v>5770</v>
      </c>
      <c r="D2243" s="62" t="s">
        <v>5771</v>
      </c>
      <c r="E2243" s="63" t="s">
        <v>5772</v>
      </c>
    </row>
    <row r="2244" spans="2:5" ht="33.75" customHeight="1">
      <c r="B2244" s="60">
        <v>2242</v>
      </c>
      <c r="C2244" s="61" t="s">
        <v>5773</v>
      </c>
      <c r="D2244" s="62" t="s">
        <v>5774</v>
      </c>
      <c r="E2244" s="63" t="s">
        <v>5775</v>
      </c>
    </row>
    <row r="2245" spans="2:5" ht="33.75" customHeight="1">
      <c r="B2245" s="60">
        <v>2243</v>
      </c>
      <c r="C2245" s="61" t="s">
        <v>5776</v>
      </c>
      <c r="D2245" s="62" t="s">
        <v>5777</v>
      </c>
      <c r="E2245" s="63" t="s">
        <v>5778</v>
      </c>
    </row>
    <row r="2246" spans="2:5" ht="33.75" customHeight="1">
      <c r="B2246" s="60">
        <v>2244</v>
      </c>
      <c r="C2246" s="61" t="s">
        <v>5779</v>
      </c>
      <c r="D2246" s="62" t="s">
        <v>5780</v>
      </c>
      <c r="E2246" s="63" t="s">
        <v>5781</v>
      </c>
    </row>
    <row r="2247" spans="2:5" ht="33.75" customHeight="1">
      <c r="B2247" s="60">
        <v>2245</v>
      </c>
      <c r="C2247" s="61" t="s">
        <v>5782</v>
      </c>
      <c r="D2247" s="62" t="s">
        <v>5783</v>
      </c>
      <c r="E2247" s="63" t="s">
        <v>5784</v>
      </c>
    </row>
    <row r="2248" spans="2:5" ht="33.75" customHeight="1">
      <c r="B2248" s="60">
        <v>2246</v>
      </c>
      <c r="C2248" s="61" t="s">
        <v>5785</v>
      </c>
      <c r="D2248" s="62" t="s">
        <v>5786</v>
      </c>
      <c r="E2248" s="63" t="s">
        <v>5787</v>
      </c>
    </row>
    <row r="2249" spans="2:5" ht="33.75" customHeight="1">
      <c r="B2249" s="60">
        <v>2247</v>
      </c>
      <c r="C2249" s="61" t="s">
        <v>5788</v>
      </c>
      <c r="D2249" s="62" t="s">
        <v>5789</v>
      </c>
      <c r="E2249" s="63" t="s">
        <v>5790</v>
      </c>
    </row>
    <row r="2250" spans="2:5" ht="33.75" customHeight="1">
      <c r="B2250" s="60">
        <v>2248</v>
      </c>
      <c r="C2250" s="61" t="s">
        <v>5791</v>
      </c>
      <c r="D2250" s="62" t="s">
        <v>5792</v>
      </c>
      <c r="E2250" s="63"/>
    </row>
    <row r="2251" spans="2:5" ht="33.75" customHeight="1">
      <c r="B2251" s="60">
        <v>2249</v>
      </c>
      <c r="C2251" s="61" t="s">
        <v>5793</v>
      </c>
      <c r="D2251" s="62" t="s">
        <v>5794</v>
      </c>
      <c r="E2251" s="63"/>
    </row>
    <row r="2252" spans="2:5" ht="33.75" customHeight="1">
      <c r="B2252" s="60">
        <v>2250</v>
      </c>
      <c r="C2252" s="61" t="s">
        <v>5795</v>
      </c>
      <c r="D2252" s="62" t="s">
        <v>5796</v>
      </c>
      <c r="E2252" s="63" t="s">
        <v>5797</v>
      </c>
    </row>
    <row r="2253" spans="2:5" ht="33.75" customHeight="1">
      <c r="B2253" s="60">
        <v>2251</v>
      </c>
      <c r="C2253" s="61" t="s">
        <v>5798</v>
      </c>
      <c r="D2253" s="62" t="s">
        <v>5799</v>
      </c>
      <c r="E2253" s="63"/>
    </row>
    <row r="2254" spans="2:5" ht="33.75" customHeight="1">
      <c r="B2254" s="60">
        <v>2252</v>
      </c>
      <c r="C2254" s="61" t="s">
        <v>5800</v>
      </c>
      <c r="D2254" s="62" t="s">
        <v>5801</v>
      </c>
      <c r="E2254" s="63"/>
    </row>
    <row r="2255" spans="2:5" ht="33.75" customHeight="1">
      <c r="B2255" s="60">
        <v>2253</v>
      </c>
      <c r="C2255" s="61" t="s">
        <v>5802</v>
      </c>
      <c r="D2255" s="62" t="s">
        <v>5803</v>
      </c>
      <c r="E2255" s="63" t="s">
        <v>5804</v>
      </c>
    </row>
    <row r="2256" spans="2:5" ht="33.75" customHeight="1">
      <c r="B2256" s="60">
        <v>2254</v>
      </c>
      <c r="C2256" s="61" t="s">
        <v>5805</v>
      </c>
      <c r="D2256" s="62" t="s">
        <v>5806</v>
      </c>
      <c r="E2256" s="63"/>
    </row>
    <row r="2257" spans="2:5" ht="33.75" customHeight="1">
      <c r="B2257" s="60">
        <v>2255</v>
      </c>
      <c r="C2257" s="61" t="s">
        <v>5807</v>
      </c>
      <c r="D2257" s="62" t="s">
        <v>5808</v>
      </c>
      <c r="E2257" s="63"/>
    </row>
    <row r="2258" spans="2:5" ht="33.75" customHeight="1">
      <c r="B2258" s="60">
        <v>2256</v>
      </c>
      <c r="C2258" s="61" t="s">
        <v>5809</v>
      </c>
      <c r="D2258" s="62" t="s">
        <v>5810</v>
      </c>
      <c r="E2258" s="63"/>
    </row>
    <row r="2259" spans="2:5" ht="33.75" customHeight="1">
      <c r="B2259" s="60">
        <v>2257</v>
      </c>
      <c r="C2259" s="61" t="s">
        <v>5811</v>
      </c>
      <c r="D2259" s="62" t="s">
        <v>5812</v>
      </c>
      <c r="E2259" s="63"/>
    </row>
    <row r="2260" spans="2:5" ht="33.75" customHeight="1">
      <c r="B2260" s="60">
        <v>2258</v>
      </c>
      <c r="C2260" s="61" t="s">
        <v>5813</v>
      </c>
      <c r="D2260" s="62" t="s">
        <v>5814</v>
      </c>
      <c r="E2260" s="63"/>
    </row>
    <row r="2261" spans="2:5" ht="33.75" customHeight="1">
      <c r="B2261" s="60">
        <v>2259</v>
      </c>
      <c r="C2261" s="61" t="s">
        <v>5815</v>
      </c>
      <c r="D2261" s="62" t="s">
        <v>5816</v>
      </c>
      <c r="E2261" s="63"/>
    </row>
    <row r="2262" spans="2:5" ht="33.75" customHeight="1">
      <c r="B2262" s="60">
        <v>2260</v>
      </c>
      <c r="C2262" s="61" t="s">
        <v>5817</v>
      </c>
      <c r="D2262" s="62" t="s">
        <v>5818</v>
      </c>
      <c r="E2262" s="63"/>
    </row>
    <row r="2263" spans="2:5" ht="33.75" customHeight="1">
      <c r="B2263" s="60">
        <v>2261</v>
      </c>
      <c r="C2263" s="61" t="s">
        <v>5819</v>
      </c>
      <c r="D2263" s="62" t="s">
        <v>5820</v>
      </c>
      <c r="E2263" s="63"/>
    </row>
    <row r="2264" spans="2:5" ht="33.75" customHeight="1">
      <c r="B2264" s="60">
        <v>2262</v>
      </c>
      <c r="C2264" s="61" t="s">
        <v>5821</v>
      </c>
      <c r="D2264" s="62" t="s">
        <v>5822</v>
      </c>
      <c r="E2264" s="63" t="s">
        <v>5823</v>
      </c>
    </row>
    <row r="2265" spans="2:5" ht="33.75" customHeight="1">
      <c r="B2265" s="60">
        <v>2263</v>
      </c>
      <c r="C2265" s="61" t="s">
        <v>5824</v>
      </c>
      <c r="D2265" s="62" t="s">
        <v>5825</v>
      </c>
      <c r="E2265" s="63"/>
    </row>
    <row r="2266" spans="2:5" ht="33.75" customHeight="1">
      <c r="B2266" s="60">
        <v>2264</v>
      </c>
      <c r="C2266" s="61" t="s">
        <v>5826</v>
      </c>
      <c r="D2266" s="62" t="s">
        <v>5827</v>
      </c>
      <c r="E2266" s="63" t="s">
        <v>5828</v>
      </c>
    </row>
    <row r="2267" spans="2:5" ht="33.75" customHeight="1">
      <c r="B2267" s="60">
        <v>2265</v>
      </c>
      <c r="C2267" s="61" t="s">
        <v>5829</v>
      </c>
      <c r="D2267" s="62" t="s">
        <v>5830</v>
      </c>
      <c r="E2267" s="63"/>
    </row>
    <row r="2268" spans="2:5" ht="33.75" customHeight="1">
      <c r="B2268" s="60">
        <v>2266</v>
      </c>
      <c r="C2268" s="61" t="s">
        <v>5831</v>
      </c>
      <c r="D2268" s="62" t="s">
        <v>5832</v>
      </c>
      <c r="E2268" s="63" t="s">
        <v>5833</v>
      </c>
    </row>
    <row r="2269" spans="2:5" ht="33.75" customHeight="1">
      <c r="B2269" s="60">
        <v>2267</v>
      </c>
      <c r="C2269" s="61" t="s">
        <v>5834</v>
      </c>
      <c r="D2269" s="62" t="s">
        <v>5835</v>
      </c>
      <c r="E2269" s="63"/>
    </row>
    <row r="2270" spans="2:5" ht="33.75" customHeight="1">
      <c r="B2270" s="60">
        <v>2268</v>
      </c>
      <c r="C2270" s="61" t="s">
        <v>5836</v>
      </c>
      <c r="D2270" s="62" t="s">
        <v>5837</v>
      </c>
      <c r="E2270" s="63"/>
    </row>
    <row r="2271" spans="2:5" ht="33.75" customHeight="1">
      <c r="B2271" s="60">
        <v>2269</v>
      </c>
      <c r="C2271" s="61" t="s">
        <v>5838</v>
      </c>
      <c r="D2271" s="62" t="s">
        <v>5839</v>
      </c>
      <c r="E2271" s="63"/>
    </row>
    <row r="2272" spans="2:5" ht="33.75" customHeight="1">
      <c r="B2272" s="60">
        <v>2270</v>
      </c>
      <c r="C2272" s="61" t="s">
        <v>5840</v>
      </c>
      <c r="D2272" s="62" t="s">
        <v>5841</v>
      </c>
      <c r="E2272" s="63"/>
    </row>
    <row r="2273" spans="2:5" ht="33.75" customHeight="1">
      <c r="B2273" s="60">
        <v>2271</v>
      </c>
      <c r="C2273" s="61" t="s">
        <v>5842</v>
      </c>
      <c r="D2273" s="62" t="s">
        <v>5843</v>
      </c>
      <c r="E2273" s="63" t="s">
        <v>5844</v>
      </c>
    </row>
    <row r="2274" spans="2:5" ht="33.75" customHeight="1">
      <c r="B2274" s="60">
        <v>2272</v>
      </c>
      <c r="C2274" s="61" t="s">
        <v>5845</v>
      </c>
      <c r="D2274" s="62" t="s">
        <v>5846</v>
      </c>
      <c r="E2274" s="63"/>
    </row>
    <row r="2275" spans="2:5" ht="33.75" customHeight="1">
      <c r="B2275" s="60">
        <v>2273</v>
      </c>
      <c r="C2275" s="61" t="s">
        <v>5847</v>
      </c>
      <c r="D2275" s="62" t="s">
        <v>5848</v>
      </c>
      <c r="E2275" s="63"/>
    </row>
    <row r="2276" spans="2:5" ht="33.75" customHeight="1">
      <c r="B2276" s="60">
        <v>2274</v>
      </c>
      <c r="C2276" s="61" t="s">
        <v>5849</v>
      </c>
      <c r="D2276" s="62" t="s">
        <v>5850</v>
      </c>
      <c r="E2276" s="63" t="s">
        <v>5851</v>
      </c>
    </row>
    <row r="2277" spans="2:5" ht="33.75" customHeight="1">
      <c r="B2277" s="60">
        <v>2275</v>
      </c>
      <c r="C2277" s="61" t="s">
        <v>5852</v>
      </c>
      <c r="D2277" s="62" t="s">
        <v>5816</v>
      </c>
      <c r="E2277" s="63"/>
    </row>
    <row r="2278" spans="2:5" ht="33.75" customHeight="1">
      <c r="B2278" s="60">
        <v>2276</v>
      </c>
      <c r="C2278" s="61" t="s">
        <v>5853</v>
      </c>
      <c r="D2278" s="62" t="s">
        <v>5854</v>
      </c>
      <c r="E2278" s="63" t="s">
        <v>5855</v>
      </c>
    </row>
    <row r="2279" spans="2:5" ht="33.75" customHeight="1">
      <c r="B2279" s="60">
        <v>2277</v>
      </c>
      <c r="C2279" s="61" t="s">
        <v>5856</v>
      </c>
      <c r="D2279" s="62" t="s">
        <v>5857</v>
      </c>
      <c r="E2279" s="63"/>
    </row>
    <row r="2280" spans="2:5" ht="33.75" customHeight="1">
      <c r="B2280" s="60">
        <v>2278</v>
      </c>
      <c r="C2280" s="61" t="s">
        <v>5858</v>
      </c>
      <c r="D2280" s="62" t="s">
        <v>5859</v>
      </c>
      <c r="E2280" s="63"/>
    </row>
    <row r="2281" spans="2:5" ht="33.75" customHeight="1">
      <c r="B2281" s="60">
        <v>2279</v>
      </c>
      <c r="C2281" s="61" t="s">
        <v>5860</v>
      </c>
      <c r="D2281" s="62" t="s">
        <v>5861</v>
      </c>
      <c r="E2281" s="63"/>
    </row>
    <row r="2282" spans="2:5" ht="33.75" customHeight="1">
      <c r="B2282" s="60">
        <v>2280</v>
      </c>
      <c r="C2282" s="61" t="s">
        <v>5862</v>
      </c>
      <c r="D2282" s="62" t="s">
        <v>5863</v>
      </c>
      <c r="E2282" s="63" t="s">
        <v>5864</v>
      </c>
    </row>
    <row r="2283" spans="2:5" ht="33.75" customHeight="1">
      <c r="B2283" s="60">
        <v>2281</v>
      </c>
      <c r="C2283" s="61" t="s">
        <v>5865</v>
      </c>
      <c r="D2283" s="62" t="s">
        <v>5866</v>
      </c>
      <c r="E2283" s="63"/>
    </row>
    <row r="2284" spans="2:5" ht="33.75" customHeight="1">
      <c r="B2284" s="60">
        <v>2282</v>
      </c>
      <c r="C2284" s="61" t="s">
        <v>5867</v>
      </c>
      <c r="D2284" s="62" t="s">
        <v>5868</v>
      </c>
      <c r="E2284" s="63" t="s">
        <v>5869</v>
      </c>
    </row>
    <row r="2285" spans="2:5" ht="33.75" customHeight="1">
      <c r="B2285" s="60">
        <v>2283</v>
      </c>
      <c r="C2285" s="61" t="s">
        <v>5870</v>
      </c>
      <c r="D2285" s="62" t="s">
        <v>5871</v>
      </c>
      <c r="E2285" s="63"/>
    </row>
    <row r="2286" spans="2:5" ht="33.75" customHeight="1">
      <c r="B2286" s="60">
        <v>2284</v>
      </c>
      <c r="C2286" s="61" t="s">
        <v>5872</v>
      </c>
      <c r="D2286" s="62" t="s">
        <v>5873</v>
      </c>
      <c r="E2286" s="63"/>
    </row>
    <row r="2287" spans="2:5" ht="33.75" customHeight="1">
      <c r="B2287" s="60">
        <v>2285</v>
      </c>
      <c r="C2287" s="61" t="s">
        <v>5874</v>
      </c>
      <c r="D2287" s="62" t="s">
        <v>5875</v>
      </c>
      <c r="E2287" s="63"/>
    </row>
    <row r="2288" spans="2:5" ht="33.75" customHeight="1">
      <c r="B2288" s="60">
        <v>2286</v>
      </c>
      <c r="C2288" s="61" t="s">
        <v>5876</v>
      </c>
      <c r="D2288" s="62" t="s">
        <v>5877</v>
      </c>
      <c r="E2288" s="63" t="s">
        <v>5878</v>
      </c>
    </row>
    <row r="2289" spans="2:5" ht="33.75" customHeight="1">
      <c r="B2289" s="60">
        <v>2287</v>
      </c>
      <c r="C2289" s="61" t="s">
        <v>5879</v>
      </c>
      <c r="D2289" s="62" t="s">
        <v>5803</v>
      </c>
      <c r="E2289" s="63"/>
    </row>
    <row r="2290" spans="2:5" ht="33.75" customHeight="1">
      <c r="B2290" s="60">
        <v>2288</v>
      </c>
      <c r="C2290" s="61" t="s">
        <v>5880</v>
      </c>
      <c r="D2290" s="62" t="s">
        <v>5881</v>
      </c>
      <c r="E2290" s="63"/>
    </row>
    <row r="2291" spans="2:5" ht="33.75" customHeight="1">
      <c r="B2291" s="60">
        <v>2289</v>
      </c>
      <c r="C2291" s="61" t="s">
        <v>5882</v>
      </c>
      <c r="D2291" s="62" t="s">
        <v>5883</v>
      </c>
      <c r="E2291" s="63"/>
    </row>
    <row r="2292" spans="2:5" ht="33.75" customHeight="1">
      <c r="B2292" s="60">
        <v>2290</v>
      </c>
      <c r="C2292" s="61" t="s">
        <v>5884</v>
      </c>
      <c r="D2292" s="62" t="s">
        <v>5885</v>
      </c>
      <c r="E2292" s="63" t="s">
        <v>5886</v>
      </c>
    </row>
    <row r="2293" spans="2:5" ht="33.75" customHeight="1">
      <c r="B2293" s="60">
        <v>2291</v>
      </c>
      <c r="C2293" s="61" t="s">
        <v>5887</v>
      </c>
      <c r="D2293" s="62" t="s">
        <v>5888</v>
      </c>
      <c r="E2293" s="63"/>
    </row>
    <row r="2294" spans="2:5" ht="33.75" customHeight="1">
      <c r="B2294" s="60">
        <v>2292</v>
      </c>
      <c r="C2294" s="61" t="s">
        <v>5889</v>
      </c>
      <c r="D2294" s="62" t="s">
        <v>5890</v>
      </c>
      <c r="E2294" s="63"/>
    </row>
    <row r="2295" spans="2:5" ht="33.75" customHeight="1">
      <c r="B2295" s="60">
        <v>2293</v>
      </c>
      <c r="C2295" s="61" t="s">
        <v>5891</v>
      </c>
      <c r="D2295" s="62" t="s">
        <v>5892</v>
      </c>
      <c r="E2295" s="63"/>
    </row>
    <row r="2296" spans="2:5" ht="33.75" customHeight="1">
      <c r="B2296" s="60">
        <v>2294</v>
      </c>
      <c r="C2296" s="61" t="s">
        <v>5893</v>
      </c>
      <c r="D2296" s="62" t="s">
        <v>5894</v>
      </c>
      <c r="E2296" s="63"/>
    </row>
    <row r="2297" spans="2:5" ht="33.75" customHeight="1">
      <c r="B2297" s="60">
        <v>2295</v>
      </c>
      <c r="C2297" s="61" t="s">
        <v>5895</v>
      </c>
      <c r="D2297" s="62" t="s">
        <v>5896</v>
      </c>
      <c r="E2297" s="63" t="s">
        <v>5897</v>
      </c>
    </row>
    <row r="2298" spans="2:5" ht="33.75" customHeight="1">
      <c r="B2298" s="60">
        <v>2296</v>
      </c>
      <c r="C2298" s="61" t="s">
        <v>5898</v>
      </c>
      <c r="D2298" s="62" t="s">
        <v>5899</v>
      </c>
      <c r="E2298" s="63"/>
    </row>
    <row r="2299" spans="2:5" ht="33.75" customHeight="1">
      <c r="B2299" s="60">
        <v>2297</v>
      </c>
      <c r="C2299" s="61" t="s">
        <v>5900</v>
      </c>
      <c r="D2299" s="62" t="s">
        <v>5901</v>
      </c>
      <c r="E2299" s="63"/>
    </row>
    <row r="2300" spans="2:5" ht="33.75" customHeight="1">
      <c r="B2300" s="60">
        <v>2298</v>
      </c>
      <c r="C2300" s="61" t="s">
        <v>5902</v>
      </c>
      <c r="D2300" s="62" t="s">
        <v>5903</v>
      </c>
      <c r="E2300" s="63"/>
    </row>
    <row r="2301" spans="2:5" ht="33.75" customHeight="1">
      <c r="B2301" s="60">
        <v>2299</v>
      </c>
      <c r="C2301" s="61" t="s">
        <v>5904</v>
      </c>
      <c r="D2301" s="62" t="s">
        <v>5905</v>
      </c>
      <c r="E2301" s="63"/>
    </row>
    <row r="2302" spans="2:5" ht="33.75" customHeight="1">
      <c r="B2302" s="60">
        <v>2300</v>
      </c>
      <c r="C2302" s="61" t="s">
        <v>5906</v>
      </c>
      <c r="D2302" s="62" t="s">
        <v>5907</v>
      </c>
      <c r="E2302" s="63"/>
    </row>
    <row r="2303" spans="2:5" ht="33.75" customHeight="1">
      <c r="B2303" s="60">
        <v>2301</v>
      </c>
      <c r="C2303" s="61" t="s">
        <v>5908</v>
      </c>
      <c r="D2303" s="62" t="s">
        <v>5909</v>
      </c>
      <c r="E2303" s="63" t="s">
        <v>5910</v>
      </c>
    </row>
    <row r="2304" spans="2:5" ht="33.75" customHeight="1">
      <c r="B2304" s="60">
        <v>2302</v>
      </c>
      <c r="C2304" s="61" t="s">
        <v>5911</v>
      </c>
      <c r="D2304" s="62" t="s">
        <v>5912</v>
      </c>
      <c r="E2304" s="63" t="s">
        <v>5913</v>
      </c>
    </row>
    <row r="2305" spans="2:5" ht="33.75" customHeight="1">
      <c r="B2305" s="60">
        <v>2303</v>
      </c>
      <c r="C2305" s="61" t="s">
        <v>5914</v>
      </c>
      <c r="D2305" s="62" t="s">
        <v>5915</v>
      </c>
      <c r="E2305" s="63"/>
    </row>
    <row r="2306" spans="2:5" ht="33.75" customHeight="1">
      <c r="B2306" s="60">
        <v>2304</v>
      </c>
      <c r="C2306" s="61" t="s">
        <v>5916</v>
      </c>
      <c r="D2306" s="62" t="s">
        <v>5917</v>
      </c>
      <c r="E2306" s="63"/>
    </row>
    <row r="2307" spans="2:5" ht="33.75" customHeight="1">
      <c r="B2307" s="60">
        <v>2305</v>
      </c>
      <c r="C2307" s="61" t="s">
        <v>5918</v>
      </c>
      <c r="D2307" s="62" t="s">
        <v>5919</v>
      </c>
      <c r="E2307" s="63" t="s">
        <v>5920</v>
      </c>
    </row>
    <row r="2308" spans="2:5" ht="33.75" customHeight="1">
      <c r="B2308" s="60">
        <v>2306</v>
      </c>
      <c r="C2308" s="61" t="s">
        <v>5921</v>
      </c>
      <c r="D2308" s="62" t="s">
        <v>5922</v>
      </c>
      <c r="E2308" s="63"/>
    </row>
    <row r="2309" spans="2:5" ht="33.75" customHeight="1">
      <c r="B2309" s="60">
        <v>2307</v>
      </c>
      <c r="C2309" s="61" t="s">
        <v>5923</v>
      </c>
      <c r="D2309" s="62" t="s">
        <v>5924</v>
      </c>
      <c r="E2309" s="63" t="s">
        <v>5925</v>
      </c>
    </row>
    <row r="2310" spans="2:5" ht="33.75" customHeight="1">
      <c r="B2310" s="60">
        <v>2308</v>
      </c>
      <c r="C2310" s="61" t="s">
        <v>5926</v>
      </c>
      <c r="D2310" s="62" t="s">
        <v>5927</v>
      </c>
      <c r="E2310" s="63"/>
    </row>
    <row r="2311" spans="2:5" ht="33.75" customHeight="1">
      <c r="B2311" s="60">
        <v>2309</v>
      </c>
      <c r="C2311" s="61" t="s">
        <v>5928</v>
      </c>
      <c r="D2311" s="62" t="s">
        <v>5929</v>
      </c>
      <c r="E2311" s="63" t="s">
        <v>5930</v>
      </c>
    </row>
    <row r="2312" spans="2:5" ht="33.75" customHeight="1">
      <c r="B2312" s="60">
        <v>2310</v>
      </c>
      <c r="C2312" s="61" t="s">
        <v>5931</v>
      </c>
      <c r="D2312" s="62" t="s">
        <v>5932</v>
      </c>
      <c r="E2312" s="63"/>
    </row>
    <row r="2313" spans="2:5" ht="33.75" customHeight="1">
      <c r="B2313" s="60">
        <v>2311</v>
      </c>
      <c r="C2313" s="61" t="s">
        <v>5933</v>
      </c>
      <c r="D2313" s="62" t="s">
        <v>5934</v>
      </c>
      <c r="E2313" s="63" t="s">
        <v>5935</v>
      </c>
    </row>
    <row r="2314" spans="2:5" ht="33.75" customHeight="1">
      <c r="B2314" s="60">
        <v>2312</v>
      </c>
      <c r="C2314" s="61" t="s">
        <v>5936</v>
      </c>
      <c r="D2314" s="62" t="s">
        <v>5937</v>
      </c>
      <c r="E2314" s="63"/>
    </row>
    <row r="2315" spans="2:5" ht="33.75" customHeight="1">
      <c r="B2315" s="60">
        <v>2313</v>
      </c>
      <c r="C2315" s="61" t="s">
        <v>5938</v>
      </c>
      <c r="D2315" s="62" t="s">
        <v>5939</v>
      </c>
      <c r="E2315" s="63"/>
    </row>
    <row r="2316" spans="2:5" ht="33.75" customHeight="1">
      <c r="B2316" s="60">
        <v>2314</v>
      </c>
      <c r="C2316" s="61" t="s">
        <v>5940</v>
      </c>
      <c r="D2316" s="62" t="s">
        <v>5941</v>
      </c>
      <c r="E2316" s="63"/>
    </row>
    <row r="2317" spans="2:5" ht="33.75" customHeight="1">
      <c r="B2317" s="60">
        <v>2315</v>
      </c>
      <c r="C2317" s="61" t="s">
        <v>5942</v>
      </c>
      <c r="D2317" s="62" t="s">
        <v>5943</v>
      </c>
      <c r="E2317" s="63" t="s">
        <v>5944</v>
      </c>
    </row>
    <row r="2318" spans="2:5" ht="33.75" customHeight="1">
      <c r="B2318" s="60">
        <v>2316</v>
      </c>
      <c r="C2318" s="61" t="s">
        <v>5945</v>
      </c>
      <c r="D2318" s="62" t="s">
        <v>5946</v>
      </c>
      <c r="E2318" s="63"/>
    </row>
    <row r="2319" spans="2:5" ht="33.75" customHeight="1">
      <c r="B2319" s="60">
        <v>2317</v>
      </c>
      <c r="C2319" s="61" t="s">
        <v>5947</v>
      </c>
      <c r="D2319" s="62" t="s">
        <v>5948</v>
      </c>
      <c r="E2319" s="63"/>
    </row>
    <row r="2320" spans="2:5" ht="33.75" customHeight="1">
      <c r="B2320" s="60">
        <v>2318</v>
      </c>
      <c r="C2320" s="61" t="s">
        <v>5949</v>
      </c>
      <c r="D2320" s="62" t="s">
        <v>5950</v>
      </c>
      <c r="E2320" s="63" t="s">
        <v>5951</v>
      </c>
    </row>
    <row r="2321" spans="2:5" ht="33.75" customHeight="1">
      <c r="B2321" s="60">
        <v>2319</v>
      </c>
      <c r="C2321" s="61" t="s">
        <v>5952</v>
      </c>
      <c r="D2321" s="62" t="s">
        <v>5953</v>
      </c>
      <c r="E2321" s="63"/>
    </row>
    <row r="2322" spans="2:5" ht="33.75" customHeight="1">
      <c r="B2322" s="60">
        <v>2320</v>
      </c>
      <c r="C2322" s="61" t="s">
        <v>5954</v>
      </c>
      <c r="D2322" s="62" t="s">
        <v>5955</v>
      </c>
      <c r="E2322" s="63"/>
    </row>
    <row r="2323" spans="2:5" ht="33.75" customHeight="1">
      <c r="B2323" s="60">
        <v>2321</v>
      </c>
      <c r="C2323" s="61" t="s">
        <v>5956</v>
      </c>
      <c r="D2323" s="62" t="s">
        <v>5957</v>
      </c>
      <c r="E2323" s="63"/>
    </row>
    <row r="2324" spans="2:5" ht="33.75" customHeight="1">
      <c r="B2324" s="60">
        <v>2322</v>
      </c>
      <c r="C2324" s="61" t="s">
        <v>5958</v>
      </c>
      <c r="D2324" s="62" t="s">
        <v>5959</v>
      </c>
      <c r="E2324" s="63" t="s">
        <v>5960</v>
      </c>
    </row>
    <row r="2325" spans="2:5" ht="33.75" customHeight="1">
      <c r="B2325" s="60">
        <v>2323</v>
      </c>
      <c r="C2325" s="61" t="s">
        <v>5961</v>
      </c>
      <c r="D2325" s="62" t="s">
        <v>5962</v>
      </c>
      <c r="E2325" s="63"/>
    </row>
    <row r="2326" spans="2:5" ht="33.75" customHeight="1">
      <c r="B2326" s="60">
        <v>2324</v>
      </c>
      <c r="C2326" s="61" t="s">
        <v>5963</v>
      </c>
      <c r="D2326" s="62" t="s">
        <v>5964</v>
      </c>
      <c r="E2326" s="63" t="s">
        <v>5965</v>
      </c>
    </row>
    <row r="2327" spans="2:5" ht="33.75" customHeight="1">
      <c r="B2327" s="60">
        <v>2325</v>
      </c>
      <c r="C2327" s="61" t="s">
        <v>5966</v>
      </c>
      <c r="D2327" s="62" t="s">
        <v>5967</v>
      </c>
      <c r="E2327" s="63"/>
    </row>
    <row r="2328" spans="2:5" ht="33.75" customHeight="1">
      <c r="B2328" s="60">
        <v>2326</v>
      </c>
      <c r="C2328" s="61" t="s">
        <v>5968</v>
      </c>
      <c r="D2328" s="62" t="s">
        <v>5969</v>
      </c>
      <c r="E2328" s="63" t="s">
        <v>5970</v>
      </c>
    </row>
    <row r="2329" spans="2:5" ht="33.75" customHeight="1">
      <c r="B2329" s="60">
        <v>2327</v>
      </c>
      <c r="C2329" s="61" t="s">
        <v>5971</v>
      </c>
      <c r="D2329" s="62" t="s">
        <v>5972</v>
      </c>
      <c r="E2329" s="63"/>
    </row>
    <row r="2330" spans="2:5" ht="33.75" customHeight="1">
      <c r="B2330" s="60">
        <v>2328</v>
      </c>
      <c r="C2330" s="61" t="s">
        <v>5973</v>
      </c>
      <c r="D2330" s="62" t="s">
        <v>5974</v>
      </c>
      <c r="E2330" s="63"/>
    </row>
    <row r="2331" spans="2:5" ht="33.75" customHeight="1">
      <c r="B2331" s="60">
        <v>2329</v>
      </c>
      <c r="C2331" s="61" t="s">
        <v>5975</v>
      </c>
      <c r="D2331" s="62" t="s">
        <v>5976</v>
      </c>
      <c r="E2331" s="63"/>
    </row>
    <row r="2332" spans="2:5" ht="33.75" customHeight="1">
      <c r="B2332" s="60">
        <v>2330</v>
      </c>
      <c r="C2332" s="61" t="s">
        <v>5977</v>
      </c>
      <c r="D2332" s="62" t="s">
        <v>5978</v>
      </c>
      <c r="E2332" s="63" t="s">
        <v>5979</v>
      </c>
    </row>
    <row r="2333" spans="2:5" ht="33.75" customHeight="1">
      <c r="B2333" s="60">
        <v>2331</v>
      </c>
      <c r="C2333" s="61" t="s">
        <v>5980</v>
      </c>
      <c r="D2333" s="62" t="s">
        <v>5981</v>
      </c>
      <c r="E2333" s="63" t="s">
        <v>5982</v>
      </c>
    </row>
    <row r="2334" spans="2:5" ht="33.75" customHeight="1">
      <c r="B2334" s="60">
        <v>2332</v>
      </c>
      <c r="C2334" s="61" t="s">
        <v>5983</v>
      </c>
      <c r="D2334" s="62" t="s">
        <v>5984</v>
      </c>
      <c r="E2334" s="63"/>
    </row>
    <row r="2335" spans="2:5" ht="33.75" customHeight="1">
      <c r="B2335" s="60">
        <v>2333</v>
      </c>
      <c r="C2335" s="61" t="s">
        <v>5985</v>
      </c>
      <c r="D2335" s="62" t="s">
        <v>5827</v>
      </c>
      <c r="E2335" s="63" t="s">
        <v>5986</v>
      </c>
    </row>
    <row r="2336" spans="2:5" ht="33.75" customHeight="1">
      <c r="B2336" s="60">
        <v>2334</v>
      </c>
      <c r="C2336" s="61" t="s">
        <v>5987</v>
      </c>
      <c r="D2336" s="62" t="s">
        <v>5988</v>
      </c>
      <c r="E2336" s="63" t="s">
        <v>5989</v>
      </c>
    </row>
    <row r="2337" spans="2:5" ht="33.75" customHeight="1">
      <c r="B2337" s="60">
        <v>2335</v>
      </c>
      <c r="C2337" s="61" t="s">
        <v>5990</v>
      </c>
      <c r="D2337" s="62" t="s">
        <v>5991</v>
      </c>
      <c r="E2337" s="63"/>
    </row>
    <row r="2338" spans="2:5" ht="33.75" customHeight="1">
      <c r="B2338" s="60">
        <v>2336</v>
      </c>
      <c r="C2338" s="61" t="s">
        <v>5992</v>
      </c>
      <c r="D2338" s="62" t="s">
        <v>5993</v>
      </c>
      <c r="E2338" s="63"/>
    </row>
    <row r="2339" spans="2:5" ht="33.75" customHeight="1">
      <c r="B2339" s="60">
        <v>2337</v>
      </c>
      <c r="C2339" s="61" t="s">
        <v>5994</v>
      </c>
      <c r="D2339" s="62" t="s">
        <v>5995</v>
      </c>
      <c r="E2339" s="63" t="s">
        <v>5996</v>
      </c>
    </row>
    <row r="2340" spans="2:5" ht="33.75" customHeight="1">
      <c r="B2340" s="60">
        <v>2338</v>
      </c>
      <c r="C2340" s="61" t="s">
        <v>5997</v>
      </c>
      <c r="D2340" s="62" t="s">
        <v>5998</v>
      </c>
      <c r="E2340" s="63"/>
    </row>
    <row r="2341" spans="2:5" ht="33.75" customHeight="1">
      <c r="B2341" s="60">
        <v>2339</v>
      </c>
      <c r="C2341" s="61" t="s">
        <v>5999</v>
      </c>
      <c r="D2341" s="62" t="s">
        <v>6000</v>
      </c>
      <c r="E2341" s="63"/>
    </row>
    <row r="2342" spans="2:5" ht="33.75" customHeight="1">
      <c r="B2342" s="60">
        <v>2340</v>
      </c>
      <c r="C2342" s="61" t="s">
        <v>6001</v>
      </c>
      <c r="D2342" s="62" t="s">
        <v>6002</v>
      </c>
      <c r="E2342" s="63"/>
    </row>
    <row r="2343" spans="2:5" ht="33.75" customHeight="1">
      <c r="B2343" s="60">
        <v>2341</v>
      </c>
      <c r="C2343" s="61" t="s">
        <v>6003</v>
      </c>
      <c r="D2343" s="62" t="s">
        <v>6004</v>
      </c>
      <c r="E2343" s="63"/>
    </row>
    <row r="2344" spans="2:5" ht="33.75" customHeight="1">
      <c r="B2344" s="60">
        <v>2342</v>
      </c>
      <c r="C2344" s="61" t="s">
        <v>6005</v>
      </c>
      <c r="D2344" s="62" t="s">
        <v>6006</v>
      </c>
      <c r="E2344" s="63"/>
    </row>
    <row r="2345" spans="2:5" ht="33.75" customHeight="1">
      <c r="B2345" s="60">
        <v>2343</v>
      </c>
      <c r="C2345" s="61" t="s">
        <v>6007</v>
      </c>
      <c r="D2345" s="62" t="s">
        <v>6008</v>
      </c>
      <c r="E2345" s="63"/>
    </row>
    <row r="2346" spans="2:5" ht="33.75" customHeight="1">
      <c r="B2346" s="60">
        <v>2344</v>
      </c>
      <c r="C2346" s="61" t="s">
        <v>6009</v>
      </c>
      <c r="D2346" s="62" t="s">
        <v>6010</v>
      </c>
      <c r="E2346" s="63"/>
    </row>
    <row r="2347" spans="2:5" ht="33.75" customHeight="1">
      <c r="B2347" s="60">
        <v>2345</v>
      </c>
      <c r="C2347" s="61" t="s">
        <v>6011</v>
      </c>
      <c r="D2347" s="62" t="s">
        <v>6012</v>
      </c>
      <c r="E2347" s="63"/>
    </row>
    <row r="2348" spans="2:5" ht="33.75" customHeight="1">
      <c r="B2348" s="60">
        <v>2346</v>
      </c>
      <c r="C2348" s="61" t="s">
        <v>6013</v>
      </c>
      <c r="D2348" s="62" t="s">
        <v>6014</v>
      </c>
      <c r="E2348" s="63" t="s">
        <v>6015</v>
      </c>
    </row>
    <row r="2349" spans="2:5" ht="33.75" customHeight="1">
      <c r="B2349" s="60">
        <v>2347</v>
      </c>
      <c r="C2349" s="61" t="s">
        <v>6016</v>
      </c>
      <c r="D2349" s="62" t="s">
        <v>6017</v>
      </c>
      <c r="E2349" s="63"/>
    </row>
    <row r="2350" spans="2:5" ht="33.75" customHeight="1">
      <c r="B2350" s="60">
        <v>2348</v>
      </c>
      <c r="C2350" s="61" t="s">
        <v>6018</v>
      </c>
      <c r="D2350" s="62" t="s">
        <v>6019</v>
      </c>
      <c r="E2350" s="63" t="s">
        <v>6020</v>
      </c>
    </row>
    <row r="2351" spans="2:5" ht="33.75" customHeight="1">
      <c r="B2351" s="60">
        <v>2349</v>
      </c>
      <c r="C2351" s="61" t="s">
        <v>6021</v>
      </c>
      <c r="D2351" s="62" t="s">
        <v>6022</v>
      </c>
      <c r="E2351" s="63"/>
    </row>
    <row r="2352" spans="2:5" ht="33.75" customHeight="1">
      <c r="B2352" s="60">
        <v>2350</v>
      </c>
      <c r="C2352" s="61" t="s">
        <v>6023</v>
      </c>
      <c r="D2352" s="62" t="s">
        <v>6024</v>
      </c>
      <c r="E2352" s="63" t="s">
        <v>6025</v>
      </c>
    </row>
    <row r="2353" spans="2:5" ht="33.75" customHeight="1">
      <c r="B2353" s="60">
        <v>2351</v>
      </c>
      <c r="C2353" s="61" t="s">
        <v>6026</v>
      </c>
      <c r="D2353" s="62" t="s">
        <v>6027</v>
      </c>
      <c r="E2353" s="63" t="s">
        <v>6028</v>
      </c>
    </row>
    <row r="2354" spans="2:5" ht="33.75" customHeight="1">
      <c r="B2354" s="60">
        <v>2352</v>
      </c>
      <c r="C2354" s="61" t="s">
        <v>6029</v>
      </c>
      <c r="D2354" s="62" t="s">
        <v>5801</v>
      </c>
      <c r="E2354" s="63"/>
    </row>
    <row r="2355" spans="2:5" ht="33.75" customHeight="1">
      <c r="B2355" s="60">
        <v>2353</v>
      </c>
      <c r="C2355" s="61" t="s">
        <v>6030</v>
      </c>
      <c r="D2355" s="62" t="s">
        <v>6031</v>
      </c>
      <c r="E2355" s="63"/>
    </row>
    <row r="2356" spans="2:5" ht="33.75" customHeight="1">
      <c r="B2356" s="60">
        <v>2354</v>
      </c>
      <c r="C2356" s="61" t="s">
        <v>6032</v>
      </c>
      <c r="D2356" s="62" t="s">
        <v>6033</v>
      </c>
      <c r="E2356" s="63" t="s">
        <v>6034</v>
      </c>
    </row>
    <row r="2357" spans="2:5" ht="33.75" customHeight="1">
      <c r="B2357" s="60">
        <v>2355</v>
      </c>
      <c r="C2357" s="61" t="s">
        <v>6035</v>
      </c>
      <c r="D2357" s="62" t="s">
        <v>5962</v>
      </c>
      <c r="E2357" s="63"/>
    </row>
    <row r="2358" spans="2:5" ht="33.75" customHeight="1">
      <c r="B2358" s="60">
        <v>2356</v>
      </c>
      <c r="C2358" s="61" t="s">
        <v>6036</v>
      </c>
      <c r="D2358" s="62" t="s">
        <v>6037</v>
      </c>
      <c r="E2358" s="63"/>
    </row>
    <row r="2359" spans="2:5" ht="33.75" customHeight="1">
      <c r="B2359" s="60">
        <v>2357</v>
      </c>
      <c r="C2359" s="61" t="s">
        <v>6038</v>
      </c>
      <c r="D2359" s="62" t="s">
        <v>6039</v>
      </c>
      <c r="E2359" s="63" t="s">
        <v>6040</v>
      </c>
    </row>
    <row r="2360" spans="2:5" ht="33.75" customHeight="1">
      <c r="B2360" s="60">
        <v>2358</v>
      </c>
      <c r="C2360" s="61" t="s">
        <v>6041</v>
      </c>
      <c r="D2360" s="62" t="s">
        <v>6042</v>
      </c>
      <c r="E2360" s="63"/>
    </row>
    <row r="2361" spans="2:5" ht="33.75" customHeight="1">
      <c r="B2361" s="60">
        <v>2359</v>
      </c>
      <c r="C2361" s="61" t="s">
        <v>6043</v>
      </c>
      <c r="D2361" s="62" t="s">
        <v>6044</v>
      </c>
      <c r="E2361" s="63"/>
    </row>
    <row r="2362" spans="2:5" ht="33.75" customHeight="1">
      <c r="B2362" s="60">
        <v>2360</v>
      </c>
      <c r="C2362" s="61" t="s">
        <v>6045</v>
      </c>
      <c r="D2362" s="62" t="s">
        <v>6046</v>
      </c>
      <c r="E2362" s="63"/>
    </row>
    <row r="2363" spans="2:5" ht="33.75" customHeight="1">
      <c r="B2363" s="60">
        <v>2361</v>
      </c>
      <c r="C2363" s="61" t="s">
        <v>6047</v>
      </c>
      <c r="D2363" s="62" t="s">
        <v>6048</v>
      </c>
      <c r="E2363" s="63"/>
    </row>
    <row r="2364" spans="2:5" ht="33.75" customHeight="1">
      <c r="B2364" s="60">
        <v>2362</v>
      </c>
      <c r="C2364" s="61" t="s">
        <v>6049</v>
      </c>
      <c r="D2364" s="62" t="s">
        <v>6050</v>
      </c>
      <c r="E2364" s="63"/>
    </row>
    <row r="2365" spans="2:5" ht="33.75" customHeight="1">
      <c r="B2365" s="60">
        <v>2363</v>
      </c>
      <c r="C2365" s="61" t="s">
        <v>6051</v>
      </c>
      <c r="D2365" s="62" t="s">
        <v>6052</v>
      </c>
      <c r="E2365" s="63" t="s">
        <v>6053</v>
      </c>
    </row>
    <row r="2366" spans="2:5" ht="33.75" customHeight="1">
      <c r="B2366" s="60">
        <v>2364</v>
      </c>
      <c r="C2366" s="61" t="s">
        <v>6054</v>
      </c>
      <c r="D2366" s="62" t="s">
        <v>6055</v>
      </c>
      <c r="E2366" s="63"/>
    </row>
    <row r="2367" spans="2:5" ht="33.75" customHeight="1">
      <c r="B2367" s="60">
        <v>2365</v>
      </c>
      <c r="C2367" s="61" t="s">
        <v>6056</v>
      </c>
      <c r="D2367" s="62" t="s">
        <v>6057</v>
      </c>
      <c r="E2367" s="63"/>
    </row>
    <row r="2368" spans="2:5" ht="33.75" customHeight="1">
      <c r="B2368" s="60">
        <v>2366</v>
      </c>
      <c r="C2368" s="61" t="s">
        <v>6058</v>
      </c>
      <c r="D2368" s="62" t="s">
        <v>6059</v>
      </c>
      <c r="E2368" s="63"/>
    </row>
    <row r="2369" spans="2:5" ht="33.75" customHeight="1">
      <c r="B2369" s="60">
        <v>2367</v>
      </c>
      <c r="C2369" s="61" t="s">
        <v>6060</v>
      </c>
      <c r="D2369" s="62" t="s">
        <v>6061</v>
      </c>
      <c r="E2369" s="63" t="s">
        <v>6062</v>
      </c>
    </row>
    <row r="2370" spans="2:5" ht="33.75" customHeight="1">
      <c r="B2370" s="60">
        <v>2368</v>
      </c>
      <c r="C2370" s="61" t="s">
        <v>6063</v>
      </c>
      <c r="D2370" s="62" t="s">
        <v>6064</v>
      </c>
      <c r="E2370" s="63"/>
    </row>
    <row r="2371" spans="2:5" ht="33.75" customHeight="1">
      <c r="B2371" s="60">
        <v>2369</v>
      </c>
      <c r="C2371" s="61" t="s">
        <v>6065</v>
      </c>
      <c r="D2371" s="62" t="s">
        <v>6066</v>
      </c>
      <c r="E2371" s="63"/>
    </row>
    <row r="2372" spans="2:5" ht="33.75" customHeight="1">
      <c r="B2372" s="60">
        <v>2370</v>
      </c>
      <c r="C2372" s="61" t="s">
        <v>6067</v>
      </c>
      <c r="D2372" s="62" t="s">
        <v>6068</v>
      </c>
      <c r="E2372" s="63" t="s">
        <v>6069</v>
      </c>
    </row>
    <row r="2373" spans="2:5" ht="33.75" customHeight="1">
      <c r="B2373" s="60">
        <v>2371</v>
      </c>
      <c r="C2373" s="61" t="s">
        <v>6070</v>
      </c>
      <c r="D2373" s="62" t="s">
        <v>6071</v>
      </c>
      <c r="E2373" s="63" t="s">
        <v>6072</v>
      </c>
    </row>
    <row r="2374" spans="2:5" ht="33.75" customHeight="1">
      <c r="B2374" s="60">
        <v>2372</v>
      </c>
      <c r="C2374" s="61" t="s">
        <v>6073</v>
      </c>
      <c r="D2374" s="62" t="s">
        <v>6074</v>
      </c>
      <c r="E2374" s="63"/>
    </row>
    <row r="2375" spans="2:5" ht="33.75" customHeight="1">
      <c r="B2375" s="60">
        <v>2373</v>
      </c>
      <c r="C2375" s="61" t="s">
        <v>6075</v>
      </c>
      <c r="D2375" s="62" t="s">
        <v>6076</v>
      </c>
      <c r="E2375" s="63" t="s">
        <v>6077</v>
      </c>
    </row>
    <row r="2376" spans="2:5" ht="33.75" customHeight="1">
      <c r="B2376" s="60">
        <v>2374</v>
      </c>
      <c r="C2376" s="61" t="s">
        <v>6078</v>
      </c>
      <c r="D2376" s="62" t="s">
        <v>6079</v>
      </c>
      <c r="E2376" s="63"/>
    </row>
    <row r="2377" spans="2:5" ht="33.75" customHeight="1">
      <c r="B2377" s="60">
        <v>2375</v>
      </c>
      <c r="C2377" s="61" t="s">
        <v>6080</v>
      </c>
      <c r="D2377" s="62" t="s">
        <v>6081</v>
      </c>
      <c r="E2377" s="63"/>
    </row>
    <row r="2378" spans="2:5" ht="33.75" customHeight="1">
      <c r="B2378" s="60">
        <v>2376</v>
      </c>
      <c r="C2378" s="61" t="s">
        <v>6082</v>
      </c>
      <c r="D2378" s="62" t="s">
        <v>5816</v>
      </c>
      <c r="E2378" s="63"/>
    </row>
    <row r="2379" spans="2:5" ht="33.75" customHeight="1">
      <c r="B2379" s="60">
        <v>2377</v>
      </c>
      <c r="C2379" s="61" t="s">
        <v>6083</v>
      </c>
      <c r="D2379" s="62" t="s">
        <v>6084</v>
      </c>
      <c r="E2379" s="63"/>
    </row>
    <row r="2380" spans="2:5" ht="33.75" customHeight="1">
      <c r="B2380" s="60">
        <v>2378</v>
      </c>
      <c r="C2380" s="61" t="s">
        <v>6085</v>
      </c>
      <c r="D2380" s="62" t="s">
        <v>6086</v>
      </c>
      <c r="E2380" s="63" t="s">
        <v>6087</v>
      </c>
    </row>
    <row r="2381" spans="2:5" ht="33.75" customHeight="1">
      <c r="B2381" s="60">
        <v>2379</v>
      </c>
      <c r="C2381" s="61" t="s">
        <v>6088</v>
      </c>
      <c r="D2381" s="62" t="s">
        <v>6089</v>
      </c>
      <c r="E2381" s="63"/>
    </row>
    <row r="2382" spans="2:5" ht="33.75" customHeight="1">
      <c r="B2382" s="60">
        <v>2380</v>
      </c>
      <c r="C2382" s="61" t="s">
        <v>6090</v>
      </c>
      <c r="D2382" s="62" t="s">
        <v>6091</v>
      </c>
      <c r="E2382" s="63"/>
    </row>
    <row r="2383" spans="2:5" ht="33.75" customHeight="1">
      <c r="B2383" s="60">
        <v>2381</v>
      </c>
      <c r="C2383" s="61" t="s">
        <v>6092</v>
      </c>
      <c r="D2383" s="62" t="s">
        <v>6093</v>
      </c>
      <c r="E2383" s="63" t="s">
        <v>6094</v>
      </c>
    </row>
    <row r="2384" spans="2:5" ht="33.75" customHeight="1">
      <c r="B2384" s="60">
        <v>2382</v>
      </c>
      <c r="C2384" s="61" t="s">
        <v>6095</v>
      </c>
      <c r="D2384" s="62" t="s">
        <v>5792</v>
      </c>
      <c r="E2384" s="63"/>
    </row>
    <row r="2385" spans="2:5" ht="33.75" customHeight="1">
      <c r="B2385" s="60">
        <v>2383</v>
      </c>
      <c r="C2385" s="61" t="s">
        <v>6096</v>
      </c>
      <c r="D2385" s="62" t="s">
        <v>6097</v>
      </c>
      <c r="E2385" s="63"/>
    </row>
    <row r="2386" spans="2:5" ht="33.75" customHeight="1">
      <c r="B2386" s="60">
        <v>2384</v>
      </c>
      <c r="C2386" s="61" t="s">
        <v>6098</v>
      </c>
      <c r="D2386" s="62" t="s">
        <v>6099</v>
      </c>
      <c r="E2386" s="63" t="s">
        <v>6100</v>
      </c>
    </row>
    <row r="2387" spans="2:5" ht="33.75" customHeight="1">
      <c r="B2387" s="60">
        <v>2385</v>
      </c>
      <c r="C2387" s="61" t="s">
        <v>6101</v>
      </c>
      <c r="D2387" s="62" t="s">
        <v>6102</v>
      </c>
      <c r="E2387" s="63" t="s">
        <v>6103</v>
      </c>
    </row>
    <row r="2388" spans="2:5" ht="33.75" customHeight="1">
      <c r="B2388" s="60">
        <v>2386</v>
      </c>
      <c r="C2388" s="61" t="s">
        <v>6104</v>
      </c>
      <c r="D2388" s="62" t="s">
        <v>6105</v>
      </c>
      <c r="E2388" s="63"/>
    </row>
    <row r="2389" spans="2:5" ht="33.75" customHeight="1">
      <c r="B2389" s="60">
        <v>2387</v>
      </c>
      <c r="C2389" s="61" t="s">
        <v>6106</v>
      </c>
      <c r="D2389" s="62" t="s">
        <v>6107</v>
      </c>
      <c r="E2389" s="63" t="s">
        <v>6108</v>
      </c>
    </row>
    <row r="2390" spans="2:5" ht="33.75" customHeight="1">
      <c r="B2390" s="60">
        <v>2388</v>
      </c>
      <c r="C2390" s="61" t="s">
        <v>6109</v>
      </c>
      <c r="D2390" s="62" t="s">
        <v>6110</v>
      </c>
      <c r="E2390" s="63"/>
    </row>
    <row r="2391" spans="2:5" ht="33.75" customHeight="1">
      <c r="B2391" s="60">
        <v>2389</v>
      </c>
      <c r="C2391" s="61" t="s">
        <v>6111</v>
      </c>
      <c r="D2391" s="62" t="s">
        <v>5803</v>
      </c>
      <c r="E2391" s="63"/>
    </row>
    <row r="2392" spans="2:5" ht="33.75" customHeight="1">
      <c r="B2392" s="60">
        <v>2390</v>
      </c>
      <c r="C2392" s="61" t="s">
        <v>6112</v>
      </c>
      <c r="D2392" s="62" t="s">
        <v>6113</v>
      </c>
      <c r="E2392" s="63"/>
    </row>
    <row r="2393" spans="2:5" ht="33.75" customHeight="1">
      <c r="B2393" s="60">
        <v>2391</v>
      </c>
      <c r="C2393" s="61" t="s">
        <v>6114</v>
      </c>
      <c r="D2393" s="62" t="s">
        <v>6115</v>
      </c>
      <c r="E2393" s="63"/>
    </row>
    <row r="2394" spans="2:5" ht="33.75" customHeight="1">
      <c r="B2394" s="60">
        <v>2392</v>
      </c>
      <c r="C2394" s="61" t="s">
        <v>6116</v>
      </c>
      <c r="D2394" s="62" t="s">
        <v>6117</v>
      </c>
      <c r="E2394" s="63"/>
    </row>
    <row r="2395" spans="2:5" ht="33.75" customHeight="1">
      <c r="B2395" s="60">
        <v>2393</v>
      </c>
      <c r="C2395" s="61" t="s">
        <v>6118</v>
      </c>
      <c r="D2395" s="62" t="s">
        <v>6119</v>
      </c>
      <c r="E2395" s="63"/>
    </row>
    <row r="2396" spans="2:5" ht="33.75" customHeight="1">
      <c r="B2396" s="60">
        <v>2394</v>
      </c>
      <c r="C2396" s="61" t="s">
        <v>6120</v>
      </c>
      <c r="D2396" s="62" t="s">
        <v>6121</v>
      </c>
      <c r="E2396" s="63"/>
    </row>
    <row r="2397" spans="2:5" ht="33.75" customHeight="1">
      <c r="B2397" s="60">
        <v>2395</v>
      </c>
      <c r="C2397" s="61" t="s">
        <v>6122</v>
      </c>
      <c r="D2397" s="62" t="s">
        <v>5816</v>
      </c>
      <c r="E2397" s="63"/>
    </row>
    <row r="2398" spans="2:5" ht="33.75" customHeight="1">
      <c r="B2398" s="60">
        <v>2396</v>
      </c>
      <c r="C2398" s="61" t="s">
        <v>6123</v>
      </c>
      <c r="D2398" s="62" t="s">
        <v>6124</v>
      </c>
      <c r="E2398" s="63"/>
    </row>
    <row r="2399" spans="2:5" ht="33.75" customHeight="1">
      <c r="B2399" s="60">
        <v>2397</v>
      </c>
      <c r="C2399" s="61" t="s">
        <v>6125</v>
      </c>
      <c r="D2399" s="62" t="s">
        <v>6126</v>
      </c>
      <c r="E2399" s="63"/>
    </row>
    <row r="2400" spans="2:5" ht="33.75" customHeight="1">
      <c r="B2400" s="60">
        <v>2398</v>
      </c>
      <c r="C2400" s="61" t="s">
        <v>6127</v>
      </c>
      <c r="D2400" s="62" t="s">
        <v>6128</v>
      </c>
      <c r="E2400" s="63" t="s">
        <v>6129</v>
      </c>
    </row>
    <row r="2401" spans="2:5" ht="33.75" customHeight="1">
      <c r="B2401" s="60">
        <v>2399</v>
      </c>
      <c r="C2401" s="61" t="s">
        <v>6130</v>
      </c>
      <c r="D2401" s="62" t="s">
        <v>5825</v>
      </c>
      <c r="E2401" s="63"/>
    </row>
    <row r="2402" spans="2:5" ht="33.75" customHeight="1">
      <c r="B2402" s="60">
        <v>2400</v>
      </c>
      <c r="C2402" s="61" t="s">
        <v>5664</v>
      </c>
      <c r="D2402" s="62" t="s">
        <v>6131</v>
      </c>
      <c r="E2402" s="63"/>
    </row>
    <row r="2403" spans="2:5" ht="33.75" customHeight="1">
      <c r="B2403" s="60">
        <v>2401</v>
      </c>
      <c r="C2403" s="61" t="s">
        <v>5666</v>
      </c>
      <c r="D2403" s="62" t="s">
        <v>6132</v>
      </c>
      <c r="E2403" s="63"/>
    </row>
    <row r="2404" spans="2:5" ht="33.75" customHeight="1">
      <c r="B2404" s="60">
        <v>2402</v>
      </c>
      <c r="C2404" s="61" t="s">
        <v>5668</v>
      </c>
      <c r="D2404" s="62" t="s">
        <v>6133</v>
      </c>
      <c r="E2404" s="63" t="s">
        <v>6134</v>
      </c>
    </row>
    <row r="2405" spans="2:5" ht="33.75" customHeight="1">
      <c r="B2405" s="60">
        <v>2403</v>
      </c>
      <c r="C2405" s="61" t="s">
        <v>5671</v>
      </c>
      <c r="D2405" s="62" t="s">
        <v>6102</v>
      </c>
      <c r="E2405" s="63"/>
    </row>
    <row r="2406" spans="2:5" ht="33.75" customHeight="1">
      <c r="B2406" s="60">
        <v>2404</v>
      </c>
      <c r="C2406" s="61" t="s">
        <v>5687</v>
      </c>
      <c r="D2406" s="62" t="s">
        <v>6135</v>
      </c>
      <c r="E2406" s="63"/>
    </row>
    <row r="2407" spans="2:5" ht="33.75" customHeight="1">
      <c r="B2407" s="60">
        <v>2405</v>
      </c>
      <c r="C2407" s="61" t="s">
        <v>5690</v>
      </c>
      <c r="D2407" s="62" t="s">
        <v>6136</v>
      </c>
      <c r="E2407" s="63" t="s">
        <v>6137</v>
      </c>
    </row>
    <row r="2408" spans="2:5" ht="33.75" customHeight="1">
      <c r="B2408" s="60">
        <v>2406</v>
      </c>
      <c r="C2408" s="61" t="s">
        <v>5692</v>
      </c>
      <c r="D2408" s="62" t="s">
        <v>6138</v>
      </c>
      <c r="E2408" s="63"/>
    </row>
    <row r="2409" spans="2:5" ht="33.75" customHeight="1">
      <c r="B2409" s="60">
        <v>2407</v>
      </c>
      <c r="C2409" s="61" t="s">
        <v>5694</v>
      </c>
      <c r="D2409" s="62" t="s">
        <v>5803</v>
      </c>
      <c r="E2409" s="63"/>
    </row>
    <row r="2410" spans="2:5" ht="33.75" customHeight="1">
      <c r="B2410" s="60">
        <v>2408</v>
      </c>
      <c r="C2410" s="61" t="s">
        <v>6139</v>
      </c>
      <c r="D2410" s="62" t="s">
        <v>6140</v>
      </c>
      <c r="E2410" s="63"/>
    </row>
    <row r="2411" spans="2:5" ht="33.75" customHeight="1">
      <c r="B2411" s="60">
        <v>2409</v>
      </c>
      <c r="C2411" s="61" t="s">
        <v>6141</v>
      </c>
      <c r="D2411" s="62" t="s">
        <v>6142</v>
      </c>
      <c r="E2411" s="63"/>
    </row>
    <row r="2412" spans="2:5" ht="33.75" customHeight="1">
      <c r="B2412" s="60">
        <v>2410</v>
      </c>
      <c r="C2412" s="61" t="s">
        <v>6143</v>
      </c>
      <c r="D2412" s="62" t="s">
        <v>6144</v>
      </c>
      <c r="E2412" s="63"/>
    </row>
    <row r="2413" spans="2:5" ht="33.75" customHeight="1">
      <c r="B2413" s="60">
        <v>2411</v>
      </c>
      <c r="C2413" s="61" t="s">
        <v>6145</v>
      </c>
      <c r="D2413" s="62" t="s">
        <v>6146</v>
      </c>
      <c r="E2413" s="63"/>
    </row>
    <row r="2414" spans="2:5" ht="33.75" customHeight="1">
      <c r="B2414" s="60">
        <v>2412</v>
      </c>
      <c r="C2414" s="61" t="s">
        <v>6147</v>
      </c>
      <c r="D2414" s="62" t="s">
        <v>6148</v>
      </c>
      <c r="E2414" s="63"/>
    </row>
    <row r="2415" spans="2:5" ht="33.75" customHeight="1">
      <c r="B2415" s="60">
        <v>2413</v>
      </c>
      <c r="C2415" s="61" t="s">
        <v>6149</v>
      </c>
      <c r="D2415" s="62" t="s">
        <v>5816</v>
      </c>
      <c r="E2415" s="63"/>
    </row>
    <row r="2416" spans="2:5" ht="33.75" customHeight="1">
      <c r="B2416" s="60">
        <v>2414</v>
      </c>
      <c r="C2416" s="61" t="s">
        <v>6150</v>
      </c>
      <c r="D2416" s="62" t="s">
        <v>6151</v>
      </c>
      <c r="E2416" s="63"/>
    </row>
    <row r="2417" spans="2:5" ht="33.75" customHeight="1">
      <c r="B2417" s="60">
        <v>2415</v>
      </c>
      <c r="C2417" s="61" t="s">
        <v>6152</v>
      </c>
      <c r="D2417" s="62" t="s">
        <v>6153</v>
      </c>
      <c r="E2417" s="63" t="s">
        <v>6154</v>
      </c>
    </row>
    <row r="2418" spans="2:5" ht="33.75" customHeight="1">
      <c r="B2418" s="60">
        <v>2416</v>
      </c>
      <c r="C2418" s="61" t="s">
        <v>6155</v>
      </c>
      <c r="D2418" s="62" t="s">
        <v>6156</v>
      </c>
      <c r="E2418" s="63" t="s">
        <v>6157</v>
      </c>
    </row>
    <row r="2419" spans="2:5" ht="33.75" customHeight="1">
      <c r="B2419" s="60">
        <v>2417</v>
      </c>
      <c r="C2419" s="61" t="s">
        <v>6158</v>
      </c>
      <c r="D2419" s="62" t="s">
        <v>5825</v>
      </c>
      <c r="E2419" s="63"/>
    </row>
    <row r="2420" spans="2:5" ht="33.75" customHeight="1">
      <c r="B2420" s="60">
        <v>2418</v>
      </c>
      <c r="C2420" s="61" t="s">
        <v>6159</v>
      </c>
      <c r="D2420" s="62" t="s">
        <v>6135</v>
      </c>
      <c r="E2420" s="63"/>
    </row>
    <row r="2421" spans="2:5" ht="33.75" customHeight="1">
      <c r="B2421" s="60">
        <v>2419</v>
      </c>
      <c r="C2421" s="61" t="s">
        <v>6160</v>
      </c>
      <c r="D2421" s="62" t="s">
        <v>6161</v>
      </c>
      <c r="E2421" s="63" t="s">
        <v>6162</v>
      </c>
    </row>
    <row r="2422" spans="2:5" ht="33.75" customHeight="1">
      <c r="B2422" s="60">
        <v>2420</v>
      </c>
      <c r="C2422" s="61" t="s">
        <v>6163</v>
      </c>
      <c r="D2422" s="62" t="s">
        <v>6164</v>
      </c>
      <c r="E2422" s="63" t="s">
        <v>6165</v>
      </c>
    </row>
    <row r="2423" spans="2:5" ht="33.75" customHeight="1">
      <c r="B2423" s="60">
        <v>2421</v>
      </c>
      <c r="C2423" s="61" t="s">
        <v>6166</v>
      </c>
      <c r="D2423" s="62" t="s">
        <v>6167</v>
      </c>
      <c r="E2423" s="63"/>
    </row>
    <row r="2424" spans="2:5" ht="33.75" customHeight="1">
      <c r="B2424" s="60">
        <v>2422</v>
      </c>
      <c r="C2424" s="61" t="s">
        <v>6168</v>
      </c>
      <c r="D2424" s="62" t="s">
        <v>6169</v>
      </c>
      <c r="E2424" s="63"/>
    </row>
    <row r="2425" spans="2:5" ht="33.75" customHeight="1">
      <c r="B2425" s="60">
        <v>2423</v>
      </c>
      <c r="C2425" s="61" t="s">
        <v>6170</v>
      </c>
      <c r="D2425" s="62" t="s">
        <v>6171</v>
      </c>
      <c r="E2425" s="63"/>
    </row>
    <row r="2426" spans="2:5" ht="33.75" customHeight="1">
      <c r="B2426" s="60">
        <v>2424</v>
      </c>
      <c r="C2426" s="61" t="s">
        <v>6172</v>
      </c>
      <c r="D2426" s="62" t="s">
        <v>6173</v>
      </c>
      <c r="E2426" s="63"/>
    </row>
    <row r="2427" spans="2:5" ht="33.75" customHeight="1">
      <c r="B2427" s="60">
        <v>2425</v>
      </c>
      <c r="C2427" s="61" t="s">
        <v>6174</v>
      </c>
      <c r="D2427" s="62" t="s">
        <v>6175</v>
      </c>
      <c r="E2427" s="63"/>
    </row>
    <row r="2428" spans="2:5" ht="33.75" customHeight="1">
      <c r="B2428" s="60">
        <v>2426</v>
      </c>
      <c r="C2428" s="61" t="s">
        <v>6176</v>
      </c>
      <c r="D2428" s="62" t="s">
        <v>6177</v>
      </c>
      <c r="E2428" s="63" t="s">
        <v>6178</v>
      </c>
    </row>
    <row r="2429" spans="2:5" ht="33.75" customHeight="1">
      <c r="B2429" s="60">
        <v>2427</v>
      </c>
      <c r="C2429" s="61" t="s">
        <v>6179</v>
      </c>
      <c r="D2429" s="62" t="s">
        <v>6180</v>
      </c>
      <c r="E2429" s="63" t="s">
        <v>6181</v>
      </c>
    </row>
    <row r="2430" spans="2:5" ht="33.75" customHeight="1">
      <c r="B2430" s="60">
        <v>2428</v>
      </c>
      <c r="C2430" s="61" t="s">
        <v>6182</v>
      </c>
      <c r="D2430" s="62" t="s">
        <v>6183</v>
      </c>
      <c r="E2430" s="63" t="s">
        <v>6184</v>
      </c>
    </row>
    <row r="2431" spans="2:5" ht="33.75" customHeight="1">
      <c r="B2431" s="60">
        <v>2429</v>
      </c>
      <c r="C2431" s="61" t="s">
        <v>6185</v>
      </c>
      <c r="D2431" s="62" t="s">
        <v>6153</v>
      </c>
      <c r="E2431" s="63" t="s">
        <v>6186</v>
      </c>
    </row>
    <row r="2432" spans="2:5" ht="33.75" customHeight="1">
      <c r="B2432" s="60">
        <v>2430</v>
      </c>
      <c r="C2432" s="61" t="s">
        <v>6187</v>
      </c>
      <c r="D2432" s="62" t="s">
        <v>6188</v>
      </c>
      <c r="E2432" s="63"/>
    </row>
    <row r="2433" spans="2:5" ht="33.75" customHeight="1">
      <c r="B2433" s="60">
        <v>2431</v>
      </c>
      <c r="C2433" s="61" t="s">
        <v>6189</v>
      </c>
      <c r="D2433" s="62" t="s">
        <v>6190</v>
      </c>
      <c r="E2433" s="63" t="s">
        <v>6191</v>
      </c>
    </row>
    <row r="2434" spans="2:5" ht="33.75" customHeight="1">
      <c r="B2434" s="60">
        <v>2432</v>
      </c>
      <c r="C2434" s="61" t="s">
        <v>6192</v>
      </c>
      <c r="D2434" s="62" t="s">
        <v>6193</v>
      </c>
      <c r="E2434" s="63"/>
    </row>
    <row r="2435" spans="2:5" ht="33.75" customHeight="1">
      <c r="B2435" s="60">
        <v>2433</v>
      </c>
      <c r="C2435" s="61" t="s">
        <v>6194</v>
      </c>
      <c r="D2435" s="62" t="s">
        <v>6195</v>
      </c>
      <c r="E2435" s="63" t="s">
        <v>6196</v>
      </c>
    </row>
    <row r="2436" spans="2:5" ht="33.75" customHeight="1">
      <c r="B2436" s="60">
        <v>2434</v>
      </c>
      <c r="C2436" s="61" t="s">
        <v>6197</v>
      </c>
      <c r="D2436" s="62" t="s">
        <v>5825</v>
      </c>
      <c r="E2436" s="63"/>
    </row>
    <row r="2437" spans="2:5" ht="33.75" customHeight="1">
      <c r="B2437" s="60">
        <v>2435</v>
      </c>
      <c r="C2437" s="61" t="s">
        <v>6198</v>
      </c>
      <c r="D2437" s="62" t="s">
        <v>5827</v>
      </c>
      <c r="E2437" s="63" t="s">
        <v>5828</v>
      </c>
    </row>
    <row r="2438" spans="2:5" ht="33.75" customHeight="1">
      <c r="B2438" s="60">
        <v>2436</v>
      </c>
      <c r="C2438" s="61" t="s">
        <v>6199</v>
      </c>
      <c r="D2438" s="62" t="s">
        <v>6200</v>
      </c>
      <c r="E2438" s="63"/>
    </row>
    <row r="2439" spans="2:5" ht="33.75" customHeight="1">
      <c r="B2439" s="60">
        <v>2437</v>
      </c>
      <c r="C2439" s="61" t="s">
        <v>6201</v>
      </c>
      <c r="D2439" s="62" t="s">
        <v>6202</v>
      </c>
      <c r="E2439" s="63" t="s">
        <v>6203</v>
      </c>
    </row>
    <row r="2440" spans="2:5" ht="33.75" customHeight="1">
      <c r="B2440" s="60">
        <v>2438</v>
      </c>
      <c r="C2440" s="61" t="s">
        <v>6204</v>
      </c>
      <c r="D2440" s="62" t="s">
        <v>5832</v>
      </c>
      <c r="E2440" s="63"/>
    </row>
    <row r="2441" spans="2:5" ht="33.75" customHeight="1">
      <c r="B2441" s="60">
        <v>2439</v>
      </c>
      <c r="C2441" s="61" t="s">
        <v>6205</v>
      </c>
      <c r="D2441" s="62" t="s">
        <v>6206</v>
      </c>
      <c r="E2441" s="63" t="s">
        <v>6207</v>
      </c>
    </row>
    <row r="2442" spans="2:5" ht="33.75" customHeight="1">
      <c r="B2442" s="60">
        <v>2440</v>
      </c>
      <c r="C2442" s="61" t="s">
        <v>6208</v>
      </c>
      <c r="D2442" s="62" t="s">
        <v>6209</v>
      </c>
      <c r="E2442" s="63"/>
    </row>
    <row r="2443" spans="2:5" ht="33.75" customHeight="1">
      <c r="B2443" s="60">
        <v>2441</v>
      </c>
      <c r="C2443" s="61" t="s">
        <v>6210</v>
      </c>
      <c r="D2443" s="62" t="s">
        <v>6211</v>
      </c>
      <c r="E2443" s="63"/>
    </row>
    <row r="2444" spans="2:5" ht="33.75" customHeight="1">
      <c r="B2444" s="60">
        <v>2442</v>
      </c>
      <c r="C2444" s="61" t="s">
        <v>6212</v>
      </c>
      <c r="D2444" s="62" t="s">
        <v>5839</v>
      </c>
      <c r="E2444" s="63"/>
    </row>
    <row r="2445" spans="2:5" ht="33.75" customHeight="1">
      <c r="B2445" s="60">
        <v>2443</v>
      </c>
      <c r="C2445" s="61" t="s">
        <v>6213</v>
      </c>
      <c r="D2445" s="62" t="s">
        <v>6214</v>
      </c>
      <c r="E2445" s="63"/>
    </row>
    <row r="2446" spans="2:5" ht="33.75" customHeight="1">
      <c r="B2446" s="60">
        <v>2444</v>
      </c>
      <c r="C2446" s="61" t="s">
        <v>6215</v>
      </c>
      <c r="D2446" s="62" t="s">
        <v>6216</v>
      </c>
      <c r="E2446" s="63" t="s">
        <v>6217</v>
      </c>
    </row>
    <row r="2447" spans="2:5" ht="33.75" customHeight="1">
      <c r="B2447" s="60">
        <v>2445</v>
      </c>
      <c r="C2447" s="61" t="s">
        <v>6218</v>
      </c>
      <c r="D2447" s="62" t="s">
        <v>6219</v>
      </c>
      <c r="E2447" s="63"/>
    </row>
    <row r="2448" spans="2:5" ht="33.75" customHeight="1">
      <c r="B2448" s="60">
        <v>2446</v>
      </c>
      <c r="C2448" s="61" t="s">
        <v>6220</v>
      </c>
      <c r="D2448" s="62" t="s">
        <v>6221</v>
      </c>
      <c r="E2448" s="63"/>
    </row>
    <row r="2449" spans="2:5" ht="33.75" customHeight="1">
      <c r="B2449" s="60">
        <v>2447</v>
      </c>
      <c r="C2449" s="61" t="s">
        <v>6222</v>
      </c>
      <c r="D2449" s="62" t="s">
        <v>6223</v>
      </c>
      <c r="E2449" s="63" t="s">
        <v>6224</v>
      </c>
    </row>
    <row r="2450" spans="2:5" ht="33.75" customHeight="1">
      <c r="B2450" s="60">
        <v>2448</v>
      </c>
      <c r="C2450" s="61" t="s">
        <v>6225</v>
      </c>
      <c r="D2450" s="62" t="s">
        <v>5816</v>
      </c>
      <c r="E2450" s="63"/>
    </row>
    <row r="2451" spans="2:5" ht="33.75" customHeight="1">
      <c r="B2451" s="60">
        <v>2449</v>
      </c>
      <c r="C2451" s="61" t="s">
        <v>6226</v>
      </c>
      <c r="D2451" s="62" t="s">
        <v>6227</v>
      </c>
      <c r="E2451" s="63"/>
    </row>
    <row r="2452" spans="2:5" ht="33.75" customHeight="1">
      <c r="B2452" s="60">
        <v>2450</v>
      </c>
      <c r="C2452" s="61" t="s">
        <v>6228</v>
      </c>
      <c r="D2452" s="62" t="s">
        <v>6229</v>
      </c>
      <c r="E2452" s="63" t="s">
        <v>6230</v>
      </c>
    </row>
    <row r="2453" spans="2:5" ht="33.75" customHeight="1">
      <c r="B2453" s="60">
        <v>2451</v>
      </c>
      <c r="C2453" s="61" t="s">
        <v>6231</v>
      </c>
      <c r="D2453" s="62" t="s">
        <v>6232</v>
      </c>
      <c r="E2453" s="63"/>
    </row>
    <row r="2454" spans="2:5" ht="33.75" customHeight="1">
      <c r="B2454" s="60">
        <v>2452</v>
      </c>
      <c r="C2454" s="61" t="s">
        <v>6233</v>
      </c>
      <c r="D2454" s="62" t="s">
        <v>6234</v>
      </c>
      <c r="E2454" s="63"/>
    </row>
    <row r="2455" spans="2:5" ht="33.75" customHeight="1">
      <c r="B2455" s="60">
        <v>2453</v>
      </c>
      <c r="C2455" s="61" t="s">
        <v>6235</v>
      </c>
      <c r="D2455" s="62" t="s">
        <v>5861</v>
      </c>
      <c r="E2455" s="63"/>
    </row>
    <row r="2456" spans="2:5" ht="33.75" customHeight="1">
      <c r="B2456" s="60">
        <v>2454</v>
      </c>
      <c r="C2456" s="61" t="s">
        <v>6236</v>
      </c>
      <c r="D2456" s="62" t="s">
        <v>6237</v>
      </c>
      <c r="E2456" s="63"/>
    </row>
    <row r="2457" spans="2:5" ht="33.75" customHeight="1">
      <c r="B2457" s="60">
        <v>2455</v>
      </c>
      <c r="C2457" s="61" t="s">
        <v>6238</v>
      </c>
      <c r="D2457" s="62" t="s">
        <v>6239</v>
      </c>
      <c r="E2457" s="63" t="s">
        <v>6240</v>
      </c>
    </row>
    <row r="2458" spans="2:5" ht="33.75" customHeight="1">
      <c r="B2458" s="60">
        <v>2456</v>
      </c>
      <c r="C2458" s="61" t="s">
        <v>6241</v>
      </c>
      <c r="D2458" s="62" t="s">
        <v>6242</v>
      </c>
      <c r="E2458" s="63"/>
    </row>
    <row r="2459" spans="2:5" ht="33.75" customHeight="1">
      <c r="B2459" s="60">
        <v>2457</v>
      </c>
      <c r="C2459" s="61" t="s">
        <v>6243</v>
      </c>
      <c r="D2459" s="62" t="s">
        <v>6244</v>
      </c>
      <c r="E2459" s="63"/>
    </row>
    <row r="2460" spans="2:5" ht="33.75" customHeight="1">
      <c r="B2460" s="60">
        <v>2458</v>
      </c>
      <c r="C2460" s="61" t="s">
        <v>6245</v>
      </c>
      <c r="D2460" s="62" t="s">
        <v>6246</v>
      </c>
      <c r="E2460" s="63"/>
    </row>
    <row r="2461" spans="2:5" ht="33.75" customHeight="1">
      <c r="B2461" s="60">
        <v>2459</v>
      </c>
      <c r="C2461" s="61" t="s">
        <v>6247</v>
      </c>
      <c r="D2461" s="62" t="s">
        <v>6248</v>
      </c>
      <c r="E2461" s="63"/>
    </row>
    <row r="2462" spans="2:5" ht="33.75" customHeight="1">
      <c r="B2462" s="60">
        <v>2460</v>
      </c>
      <c r="C2462" s="61" t="s">
        <v>6249</v>
      </c>
      <c r="D2462" s="62" t="s">
        <v>6250</v>
      </c>
      <c r="E2462" s="63"/>
    </row>
    <row r="2463" spans="2:5" ht="33.75" customHeight="1">
      <c r="B2463" s="60">
        <v>2461</v>
      </c>
      <c r="C2463" s="61" t="s">
        <v>6251</v>
      </c>
      <c r="D2463" s="62" t="s">
        <v>5839</v>
      </c>
      <c r="E2463" s="63"/>
    </row>
    <row r="2464" spans="2:5" ht="33.75" customHeight="1">
      <c r="B2464" s="60">
        <v>2462</v>
      </c>
      <c r="C2464" s="61" t="s">
        <v>6252</v>
      </c>
      <c r="D2464" s="62" t="s">
        <v>6253</v>
      </c>
      <c r="E2464" s="63"/>
    </row>
    <row r="2465" spans="2:5" ht="33.75" customHeight="1">
      <c r="B2465" s="60">
        <v>2463</v>
      </c>
      <c r="C2465" s="61" t="s">
        <v>6254</v>
      </c>
      <c r="D2465" s="62" t="s">
        <v>6255</v>
      </c>
      <c r="E2465" s="63" t="s">
        <v>6256</v>
      </c>
    </row>
    <row r="2466" spans="2:5" ht="33.75" customHeight="1">
      <c r="B2466" s="60">
        <v>2464</v>
      </c>
      <c r="C2466" s="61" t="s">
        <v>6257</v>
      </c>
      <c r="D2466" s="62" t="s">
        <v>6258</v>
      </c>
      <c r="E2466" s="63"/>
    </row>
    <row r="2467" spans="2:5" ht="33.75" customHeight="1">
      <c r="B2467" s="60">
        <v>2465</v>
      </c>
      <c r="C2467" s="61" t="s">
        <v>6259</v>
      </c>
      <c r="D2467" s="62" t="s">
        <v>6260</v>
      </c>
      <c r="E2467" s="63"/>
    </row>
    <row r="2468" spans="2:5" ht="33.75" customHeight="1">
      <c r="B2468" s="60">
        <v>2466</v>
      </c>
      <c r="C2468" s="61" t="s">
        <v>6261</v>
      </c>
      <c r="D2468" s="62" t="s">
        <v>6262</v>
      </c>
      <c r="E2468" s="63"/>
    </row>
    <row r="2469" spans="2:5" ht="33.75" customHeight="1">
      <c r="B2469" s="60">
        <v>2467</v>
      </c>
      <c r="C2469" s="61" t="s">
        <v>6263</v>
      </c>
      <c r="D2469" s="62" t="s">
        <v>6264</v>
      </c>
      <c r="E2469" s="63" t="s">
        <v>6265</v>
      </c>
    </row>
    <row r="2470" spans="2:5" ht="33.75" customHeight="1">
      <c r="B2470" s="60">
        <v>2468</v>
      </c>
      <c r="C2470" s="61" t="s">
        <v>6266</v>
      </c>
      <c r="D2470" s="62" t="s">
        <v>5816</v>
      </c>
      <c r="E2470" s="63"/>
    </row>
    <row r="2471" spans="2:5" ht="33.75" customHeight="1">
      <c r="B2471" s="60">
        <v>2469</v>
      </c>
      <c r="C2471" s="61" t="s">
        <v>6267</v>
      </c>
      <c r="D2471" s="62" t="s">
        <v>6227</v>
      </c>
      <c r="E2471" s="63"/>
    </row>
    <row r="2472" spans="2:5" ht="33.75" customHeight="1">
      <c r="B2472" s="60">
        <v>2470</v>
      </c>
      <c r="C2472" s="61" t="s">
        <v>6268</v>
      </c>
      <c r="D2472" s="62" t="s">
        <v>6229</v>
      </c>
      <c r="E2472" s="63" t="s">
        <v>6269</v>
      </c>
    </row>
    <row r="2473" spans="2:5" ht="33.75" customHeight="1">
      <c r="B2473" s="60">
        <v>2471</v>
      </c>
      <c r="C2473" s="61" t="s">
        <v>6270</v>
      </c>
      <c r="D2473" s="62" t="s">
        <v>6232</v>
      </c>
      <c r="E2473" s="63"/>
    </row>
    <row r="2474" spans="2:5" ht="33.75" customHeight="1">
      <c r="B2474" s="60">
        <v>2472</v>
      </c>
      <c r="C2474" s="61" t="s">
        <v>6271</v>
      </c>
      <c r="D2474" s="62" t="s">
        <v>6272</v>
      </c>
      <c r="E2474" s="63"/>
    </row>
    <row r="2475" spans="2:5" ht="33.75" customHeight="1">
      <c r="B2475" s="60">
        <v>2473</v>
      </c>
      <c r="C2475" s="61" t="s">
        <v>6273</v>
      </c>
      <c r="D2475" s="62" t="s">
        <v>6274</v>
      </c>
      <c r="E2475" s="63"/>
    </row>
    <row r="2476" spans="2:5" ht="33.75" customHeight="1">
      <c r="B2476" s="60">
        <v>2474</v>
      </c>
      <c r="C2476" s="61" t="s">
        <v>6275</v>
      </c>
      <c r="D2476" s="62" t="s">
        <v>6276</v>
      </c>
      <c r="E2476" s="63" t="s">
        <v>6277</v>
      </c>
    </row>
    <row r="2477" spans="2:5" ht="33.75" customHeight="1">
      <c r="B2477" s="60">
        <v>2475</v>
      </c>
      <c r="C2477" s="61" t="s">
        <v>6278</v>
      </c>
      <c r="D2477" s="62" t="s">
        <v>6279</v>
      </c>
      <c r="E2477" s="63"/>
    </row>
    <row r="2478" spans="2:5" ht="33.75" customHeight="1">
      <c r="B2478" s="60">
        <v>2476</v>
      </c>
      <c r="C2478" s="61" t="s">
        <v>6280</v>
      </c>
      <c r="D2478" s="62" t="s">
        <v>6281</v>
      </c>
      <c r="E2478" s="63"/>
    </row>
    <row r="2479" spans="2:5" ht="33.75" customHeight="1">
      <c r="B2479" s="60">
        <v>2477</v>
      </c>
      <c r="C2479" s="61" t="s">
        <v>6282</v>
      </c>
      <c r="D2479" s="62" t="s">
        <v>6283</v>
      </c>
      <c r="E2479" s="63"/>
    </row>
    <row r="2480" spans="2:5" ht="33.75" customHeight="1">
      <c r="B2480" s="60">
        <v>2478</v>
      </c>
      <c r="C2480" s="61" t="s">
        <v>6284</v>
      </c>
      <c r="D2480" s="62" t="s">
        <v>6285</v>
      </c>
      <c r="E2480" s="63"/>
    </row>
    <row r="2481" spans="2:5" ht="33.75" customHeight="1">
      <c r="B2481" s="60">
        <v>2479</v>
      </c>
      <c r="C2481" s="61" t="s">
        <v>6286</v>
      </c>
      <c r="D2481" s="62" t="s">
        <v>6287</v>
      </c>
      <c r="E2481" s="63"/>
    </row>
    <row r="2482" spans="2:5" ht="33.75" customHeight="1">
      <c r="B2482" s="60">
        <v>2480</v>
      </c>
      <c r="C2482" s="61" t="s">
        <v>6288</v>
      </c>
      <c r="D2482" s="62" t="s">
        <v>6289</v>
      </c>
      <c r="E2482" s="63"/>
    </row>
    <row r="2483" spans="2:5" ht="33.75" customHeight="1">
      <c r="B2483" s="60">
        <v>2481</v>
      </c>
      <c r="C2483" s="61" t="s">
        <v>6290</v>
      </c>
      <c r="D2483" s="62" t="s">
        <v>6291</v>
      </c>
      <c r="E2483" s="63"/>
    </row>
    <row r="2484" spans="2:5" ht="33.75" customHeight="1">
      <c r="B2484" s="60">
        <v>2482</v>
      </c>
      <c r="C2484" s="61" t="s">
        <v>6292</v>
      </c>
      <c r="D2484" s="62" t="s">
        <v>6293</v>
      </c>
      <c r="E2484" s="63"/>
    </row>
    <row r="2485" spans="2:5" ht="33.75" customHeight="1">
      <c r="B2485" s="60">
        <v>2483</v>
      </c>
      <c r="C2485" s="61" t="s">
        <v>6294</v>
      </c>
      <c r="D2485" s="62" t="s">
        <v>5832</v>
      </c>
      <c r="E2485" s="63"/>
    </row>
    <row r="2486" spans="2:5" ht="33.75" customHeight="1">
      <c r="B2486" s="60">
        <v>2484</v>
      </c>
      <c r="C2486" s="61" t="s">
        <v>6295</v>
      </c>
      <c r="D2486" s="62" t="s">
        <v>5839</v>
      </c>
      <c r="E2486" s="63"/>
    </row>
    <row r="2487" spans="2:5" ht="33.75" customHeight="1">
      <c r="B2487" s="60">
        <v>2485</v>
      </c>
      <c r="C2487" s="61" t="s">
        <v>6296</v>
      </c>
      <c r="D2487" s="62" t="s">
        <v>6227</v>
      </c>
      <c r="E2487" s="63"/>
    </row>
    <row r="2488" spans="2:5" ht="33.75" customHeight="1">
      <c r="B2488" s="60">
        <v>2486</v>
      </c>
      <c r="C2488" s="61" t="s">
        <v>6297</v>
      </c>
      <c r="D2488" s="62" t="s">
        <v>6229</v>
      </c>
      <c r="E2488" s="63" t="s">
        <v>6269</v>
      </c>
    </row>
    <row r="2489" spans="2:5" ht="33.75" customHeight="1">
      <c r="B2489" s="60">
        <v>2487</v>
      </c>
      <c r="C2489" s="61" t="s">
        <v>6298</v>
      </c>
      <c r="D2489" s="62" t="s">
        <v>6299</v>
      </c>
      <c r="E2489" s="63"/>
    </row>
    <row r="2490" spans="2:5" ht="33.75" customHeight="1">
      <c r="B2490" s="60">
        <v>2488</v>
      </c>
      <c r="C2490" s="61" t="s">
        <v>6300</v>
      </c>
      <c r="D2490" s="62" t="s">
        <v>6301</v>
      </c>
      <c r="E2490" s="63"/>
    </row>
    <row r="2491" spans="2:5" ht="33.75" customHeight="1">
      <c r="B2491" s="60">
        <v>2489</v>
      </c>
      <c r="C2491" s="61" t="s">
        <v>6302</v>
      </c>
      <c r="D2491" s="62" t="s">
        <v>6303</v>
      </c>
      <c r="E2491" s="63" t="s">
        <v>6304</v>
      </c>
    </row>
    <row r="2492" spans="2:5" ht="33.75" customHeight="1">
      <c r="B2492" s="60">
        <v>2490</v>
      </c>
      <c r="C2492" s="61" t="s">
        <v>6305</v>
      </c>
      <c r="D2492" s="62" t="s">
        <v>6306</v>
      </c>
      <c r="E2492" s="63" t="s">
        <v>6307</v>
      </c>
    </row>
    <row r="2493" spans="2:5" ht="33.75" customHeight="1">
      <c r="B2493" s="60">
        <v>2491</v>
      </c>
      <c r="C2493" s="61" t="s">
        <v>6308</v>
      </c>
      <c r="D2493" s="62" t="s">
        <v>6309</v>
      </c>
      <c r="E2493" s="63"/>
    </row>
    <row r="2494" spans="2:5" ht="33.75" customHeight="1">
      <c r="B2494" s="60">
        <v>2492</v>
      </c>
      <c r="C2494" s="61" t="s">
        <v>6310</v>
      </c>
      <c r="D2494" s="62" t="s">
        <v>5863</v>
      </c>
      <c r="E2494" s="63" t="s">
        <v>6311</v>
      </c>
    </row>
    <row r="2495" spans="2:5" ht="33.75" customHeight="1">
      <c r="B2495" s="60">
        <v>2493</v>
      </c>
      <c r="C2495" s="61" t="s">
        <v>6312</v>
      </c>
      <c r="D2495" s="62" t="s">
        <v>6313</v>
      </c>
      <c r="E2495" s="63"/>
    </row>
    <row r="2496" spans="2:5" ht="33.75" customHeight="1">
      <c r="B2496" s="60">
        <v>2494</v>
      </c>
      <c r="C2496" s="61" t="s">
        <v>6314</v>
      </c>
      <c r="D2496" s="62" t="s">
        <v>6315</v>
      </c>
      <c r="E2496" s="63" t="s">
        <v>6316</v>
      </c>
    </row>
    <row r="2497" spans="2:5" ht="33.75" customHeight="1">
      <c r="B2497" s="60">
        <v>2495</v>
      </c>
      <c r="C2497" s="61" t="s">
        <v>6317</v>
      </c>
      <c r="D2497" s="62" t="s">
        <v>6318</v>
      </c>
      <c r="E2497" s="63"/>
    </row>
    <row r="2498" spans="2:5" ht="33.75" customHeight="1">
      <c r="B2498" s="60">
        <v>2496</v>
      </c>
      <c r="C2498" s="61" t="s">
        <v>6319</v>
      </c>
      <c r="D2498" s="62" t="s">
        <v>6320</v>
      </c>
      <c r="E2498" s="63"/>
    </row>
    <row r="2499" spans="2:5" ht="33.75" customHeight="1">
      <c r="B2499" s="60">
        <v>2497</v>
      </c>
      <c r="C2499" s="61" t="s">
        <v>6321</v>
      </c>
      <c r="D2499" s="62" t="s">
        <v>6322</v>
      </c>
      <c r="E2499" s="63"/>
    </row>
    <row r="2500" spans="2:5" ht="33.75" customHeight="1">
      <c r="B2500" s="60">
        <v>2498</v>
      </c>
      <c r="C2500" s="61" t="s">
        <v>6323</v>
      </c>
      <c r="D2500" s="62" t="s">
        <v>6324</v>
      </c>
      <c r="E2500" s="63"/>
    </row>
    <row r="2501" spans="2:5" ht="33.75" customHeight="1">
      <c r="B2501" s="60">
        <v>2499</v>
      </c>
      <c r="C2501" s="61" t="s">
        <v>6325</v>
      </c>
      <c r="D2501" s="62" t="s">
        <v>6326</v>
      </c>
      <c r="E2501" s="63" t="s">
        <v>6327</v>
      </c>
    </row>
    <row r="2502" spans="2:5" ht="33.75" customHeight="1">
      <c r="B2502" s="60">
        <v>2500</v>
      </c>
      <c r="C2502" s="61" t="s">
        <v>6328</v>
      </c>
      <c r="D2502" s="62" t="s">
        <v>6329</v>
      </c>
      <c r="E2502" s="63"/>
    </row>
    <row r="2503" spans="2:5" ht="33.75" customHeight="1">
      <c r="B2503" s="60">
        <v>2501</v>
      </c>
      <c r="C2503" s="61" t="s">
        <v>6330</v>
      </c>
      <c r="D2503" s="62" t="s">
        <v>5803</v>
      </c>
      <c r="E2503" s="63"/>
    </row>
    <row r="2504" spans="2:5" ht="33.75" customHeight="1">
      <c r="B2504" s="60">
        <v>2502</v>
      </c>
      <c r="C2504" s="61" t="s">
        <v>6331</v>
      </c>
      <c r="D2504" s="62" t="s">
        <v>6332</v>
      </c>
      <c r="E2504" s="63"/>
    </row>
    <row r="2505" spans="2:5" ht="33.75" customHeight="1">
      <c r="B2505" s="60">
        <v>2503</v>
      </c>
      <c r="C2505" s="61" t="s">
        <v>6333</v>
      </c>
      <c r="D2505" s="62" t="s">
        <v>6334</v>
      </c>
      <c r="E2505" s="63"/>
    </row>
    <row r="2506" spans="2:5" ht="33.75" customHeight="1">
      <c r="B2506" s="60">
        <v>2504</v>
      </c>
      <c r="C2506" s="61" t="s">
        <v>6335</v>
      </c>
      <c r="D2506" s="62" t="s">
        <v>6336</v>
      </c>
      <c r="E2506" s="63" t="s">
        <v>6337</v>
      </c>
    </row>
    <row r="2507" spans="2:5" ht="33.75" customHeight="1">
      <c r="B2507" s="60">
        <v>2505</v>
      </c>
      <c r="C2507" s="61" t="s">
        <v>6338</v>
      </c>
      <c r="D2507" s="62" t="s">
        <v>6339</v>
      </c>
      <c r="E2507" s="63"/>
    </row>
    <row r="2508" spans="2:5" ht="33.75" customHeight="1">
      <c r="B2508" s="60">
        <v>2506</v>
      </c>
      <c r="C2508" s="61" t="s">
        <v>6340</v>
      </c>
      <c r="D2508" s="62" t="s">
        <v>6221</v>
      </c>
      <c r="E2508" s="63"/>
    </row>
    <row r="2509" spans="2:5" ht="33.75" customHeight="1">
      <c r="B2509" s="60">
        <v>2507</v>
      </c>
      <c r="C2509" s="61" t="s">
        <v>6341</v>
      </c>
      <c r="D2509" s="62" t="s">
        <v>6342</v>
      </c>
      <c r="E2509" s="63"/>
    </row>
    <row r="2510" spans="2:5" ht="33.75" customHeight="1">
      <c r="B2510" s="60">
        <v>2508</v>
      </c>
      <c r="C2510" s="61" t="s">
        <v>6343</v>
      </c>
      <c r="D2510" s="62" t="s">
        <v>6344</v>
      </c>
      <c r="E2510" s="63" t="s">
        <v>6345</v>
      </c>
    </row>
    <row r="2511" spans="2:5" ht="33.75" customHeight="1">
      <c r="B2511" s="60">
        <v>2509</v>
      </c>
      <c r="C2511" s="61" t="s">
        <v>6346</v>
      </c>
      <c r="D2511" s="62" t="s">
        <v>6347</v>
      </c>
      <c r="E2511" s="63"/>
    </row>
    <row r="2512" spans="2:5" ht="33.75" customHeight="1">
      <c r="B2512" s="60">
        <v>2510</v>
      </c>
      <c r="C2512" s="61" t="s">
        <v>6348</v>
      </c>
      <c r="D2512" s="62" t="s">
        <v>6349</v>
      </c>
      <c r="E2512" s="63" t="s">
        <v>6350</v>
      </c>
    </row>
    <row r="2513" spans="2:5" ht="33.75" customHeight="1">
      <c r="B2513" s="60">
        <v>2511</v>
      </c>
      <c r="C2513" s="61" t="s">
        <v>6351</v>
      </c>
      <c r="D2513" s="62" t="s">
        <v>6352</v>
      </c>
      <c r="E2513" s="63"/>
    </row>
    <row r="2514" spans="2:5" ht="33.75" customHeight="1">
      <c r="B2514" s="60">
        <v>2512</v>
      </c>
      <c r="C2514" s="61" t="s">
        <v>6353</v>
      </c>
      <c r="D2514" s="62" t="s">
        <v>6354</v>
      </c>
      <c r="E2514" s="63"/>
    </row>
    <row r="2515" spans="2:5" ht="33.75" customHeight="1">
      <c r="B2515" s="60">
        <v>2513</v>
      </c>
      <c r="C2515" s="61" t="s">
        <v>6355</v>
      </c>
      <c r="D2515" s="62" t="s">
        <v>6356</v>
      </c>
      <c r="E2515" s="63"/>
    </row>
    <row r="2516" spans="2:5" ht="33.75" customHeight="1">
      <c r="B2516" s="60">
        <v>2514</v>
      </c>
      <c r="C2516" s="61" t="s">
        <v>6357</v>
      </c>
      <c r="D2516" s="62" t="s">
        <v>6131</v>
      </c>
      <c r="E2516" s="63"/>
    </row>
    <row r="2517" spans="2:5" ht="33.75" customHeight="1">
      <c r="B2517" s="60">
        <v>2515</v>
      </c>
      <c r="C2517" s="61" t="s">
        <v>6358</v>
      </c>
      <c r="D2517" s="62" t="s">
        <v>6239</v>
      </c>
      <c r="E2517" s="63" t="s">
        <v>6359</v>
      </c>
    </row>
    <row r="2518" spans="2:5" ht="33.75" customHeight="1">
      <c r="B2518" s="60">
        <v>2516</v>
      </c>
      <c r="C2518" s="61" t="s">
        <v>6360</v>
      </c>
      <c r="D2518" s="62" t="s">
        <v>6361</v>
      </c>
      <c r="E2518" s="63"/>
    </row>
    <row r="2519" spans="2:5" ht="33.75" customHeight="1">
      <c r="B2519" s="60">
        <v>2517</v>
      </c>
      <c r="C2519" s="61" t="s">
        <v>6362</v>
      </c>
      <c r="D2519" s="62" t="s">
        <v>6320</v>
      </c>
      <c r="E2519" s="63"/>
    </row>
    <row r="2520" spans="2:5" ht="33.75" customHeight="1">
      <c r="B2520" s="60">
        <v>2518</v>
      </c>
      <c r="C2520" s="61" t="s">
        <v>6363</v>
      </c>
      <c r="D2520" s="62" t="s">
        <v>6364</v>
      </c>
      <c r="E2520" s="63"/>
    </row>
    <row r="2521" spans="2:5" ht="33.75" customHeight="1">
      <c r="B2521" s="60">
        <v>2519</v>
      </c>
      <c r="C2521" s="61" t="s">
        <v>6365</v>
      </c>
      <c r="D2521" s="62" t="s">
        <v>6366</v>
      </c>
      <c r="E2521" s="63"/>
    </row>
    <row r="2522" spans="2:5" ht="33.75" customHeight="1">
      <c r="B2522" s="60">
        <v>2520</v>
      </c>
      <c r="C2522" s="61" t="s">
        <v>6367</v>
      </c>
      <c r="D2522" s="62" t="s">
        <v>6368</v>
      </c>
      <c r="E2522" s="63" t="s">
        <v>6369</v>
      </c>
    </row>
    <row r="2523" spans="2:5" ht="33.75" customHeight="1">
      <c r="B2523" s="60">
        <v>2521</v>
      </c>
      <c r="C2523" s="61" t="s">
        <v>6370</v>
      </c>
      <c r="D2523" s="62" t="s">
        <v>6371</v>
      </c>
      <c r="E2523" s="63"/>
    </row>
    <row r="2524" spans="2:5" ht="33.75" customHeight="1">
      <c r="B2524" s="60">
        <v>2522</v>
      </c>
      <c r="C2524" s="61" t="s">
        <v>6372</v>
      </c>
      <c r="D2524" s="62" t="s">
        <v>5803</v>
      </c>
      <c r="E2524" s="63"/>
    </row>
    <row r="2525" spans="2:5" ht="33.75" customHeight="1">
      <c r="B2525" s="60">
        <v>2523</v>
      </c>
      <c r="C2525" s="61" t="s">
        <v>6373</v>
      </c>
      <c r="D2525" s="62" t="s">
        <v>6374</v>
      </c>
      <c r="E2525" s="63"/>
    </row>
    <row r="2526" spans="2:5" ht="33.75" customHeight="1">
      <c r="B2526" s="60">
        <v>2524</v>
      </c>
      <c r="C2526" s="61" t="s">
        <v>6375</v>
      </c>
      <c r="D2526" s="62" t="s">
        <v>6376</v>
      </c>
      <c r="E2526" s="63" t="s">
        <v>6377</v>
      </c>
    </row>
    <row r="2527" spans="2:5" ht="33.75" customHeight="1">
      <c r="B2527" s="60">
        <v>2525</v>
      </c>
      <c r="C2527" s="61" t="s">
        <v>6378</v>
      </c>
      <c r="D2527" s="62" t="s">
        <v>6379</v>
      </c>
      <c r="E2527" s="63"/>
    </row>
    <row r="2528" spans="2:5" ht="33.75" customHeight="1">
      <c r="B2528" s="60">
        <v>2526</v>
      </c>
      <c r="C2528" s="61" t="s">
        <v>6380</v>
      </c>
      <c r="D2528" s="62" t="s">
        <v>6146</v>
      </c>
      <c r="E2528" s="63"/>
    </row>
    <row r="2529" spans="2:5" ht="33.75" customHeight="1">
      <c r="B2529" s="60">
        <v>2527</v>
      </c>
      <c r="C2529" s="61" t="s">
        <v>6381</v>
      </c>
      <c r="D2529" s="62" t="s">
        <v>6382</v>
      </c>
      <c r="E2529" s="63"/>
    </row>
    <row r="2530" spans="2:5" ht="33.75" customHeight="1">
      <c r="B2530" s="60">
        <v>2528</v>
      </c>
      <c r="C2530" s="61" t="s">
        <v>6383</v>
      </c>
      <c r="D2530" s="62" t="s">
        <v>6384</v>
      </c>
      <c r="E2530" s="63" t="s">
        <v>6385</v>
      </c>
    </row>
    <row r="2531" spans="2:5" ht="33.75" customHeight="1">
      <c r="B2531" s="60">
        <v>2529</v>
      </c>
      <c r="C2531" s="61" t="s">
        <v>6386</v>
      </c>
      <c r="D2531" s="62" t="s">
        <v>6387</v>
      </c>
      <c r="E2531" s="63"/>
    </row>
    <row r="2532" spans="2:5" ht="33.75" customHeight="1">
      <c r="B2532" s="60">
        <v>2530</v>
      </c>
      <c r="C2532" s="61" t="s">
        <v>6388</v>
      </c>
      <c r="D2532" s="62" t="s">
        <v>6347</v>
      </c>
      <c r="E2532" s="63"/>
    </row>
    <row r="2533" spans="2:5" ht="33.75" customHeight="1">
      <c r="B2533" s="60">
        <v>2531</v>
      </c>
      <c r="C2533" s="61" t="s">
        <v>6389</v>
      </c>
      <c r="D2533" s="62" t="s">
        <v>6349</v>
      </c>
      <c r="E2533" s="63" t="s">
        <v>6390</v>
      </c>
    </row>
    <row r="2534" spans="2:5" ht="33.75" customHeight="1">
      <c r="B2534" s="60">
        <v>2532</v>
      </c>
      <c r="C2534" s="61" t="s">
        <v>6391</v>
      </c>
      <c r="D2534" s="62" t="s">
        <v>6392</v>
      </c>
      <c r="E2534" s="63"/>
    </row>
    <row r="2535" spans="2:5" ht="33.75" customHeight="1">
      <c r="B2535" s="60">
        <v>2533</v>
      </c>
      <c r="C2535" s="61" t="s">
        <v>6393</v>
      </c>
      <c r="D2535" s="62" t="s">
        <v>6394</v>
      </c>
      <c r="E2535" s="63"/>
    </row>
    <row r="2536" spans="2:5" ht="33.75" customHeight="1">
      <c r="B2536" s="60">
        <v>2534</v>
      </c>
      <c r="C2536" s="61" t="s">
        <v>6395</v>
      </c>
      <c r="D2536" s="62" t="s">
        <v>6356</v>
      </c>
      <c r="E2536" s="63"/>
    </row>
    <row r="2537" spans="2:5" ht="33.75" customHeight="1">
      <c r="B2537" s="60">
        <v>2535</v>
      </c>
      <c r="C2537" s="61" t="s">
        <v>6396</v>
      </c>
      <c r="D2537" s="62" t="s">
        <v>6364</v>
      </c>
      <c r="E2537" s="63"/>
    </row>
    <row r="2538" spans="2:5" ht="33.75" customHeight="1">
      <c r="B2538" s="60">
        <v>2536</v>
      </c>
      <c r="C2538" s="61" t="s">
        <v>6397</v>
      </c>
      <c r="D2538" s="62" t="s">
        <v>6398</v>
      </c>
      <c r="E2538" s="63"/>
    </row>
    <row r="2539" spans="2:5" ht="33.75" customHeight="1">
      <c r="B2539" s="60">
        <v>2537</v>
      </c>
      <c r="C2539" s="61" t="s">
        <v>6399</v>
      </c>
      <c r="D2539" s="62" t="s">
        <v>6161</v>
      </c>
      <c r="E2539" s="63"/>
    </row>
    <row r="2540" spans="2:5" ht="33.75" customHeight="1">
      <c r="B2540" s="60">
        <v>2538</v>
      </c>
      <c r="C2540" s="61" t="s">
        <v>6400</v>
      </c>
      <c r="D2540" s="62" t="s">
        <v>6167</v>
      </c>
      <c r="E2540" s="63"/>
    </row>
    <row r="2541" spans="2:5" ht="33.75" customHeight="1">
      <c r="B2541" s="60">
        <v>2539</v>
      </c>
      <c r="C2541" s="61" t="s">
        <v>6401</v>
      </c>
      <c r="D2541" s="62" t="s">
        <v>6402</v>
      </c>
      <c r="E2541" s="63"/>
    </row>
    <row r="2542" spans="2:5" ht="33.75" customHeight="1">
      <c r="B2542" s="60">
        <v>2540</v>
      </c>
      <c r="C2542" s="61" t="s">
        <v>6403</v>
      </c>
      <c r="D2542" s="62" t="s">
        <v>6136</v>
      </c>
      <c r="E2542" s="63"/>
    </row>
    <row r="2543" spans="2:5" ht="33.75" customHeight="1">
      <c r="B2543" s="60">
        <v>2541</v>
      </c>
      <c r="C2543" s="61" t="s">
        <v>6404</v>
      </c>
      <c r="D2543" s="62" t="s">
        <v>6368</v>
      </c>
      <c r="E2543" s="63" t="s">
        <v>6369</v>
      </c>
    </row>
    <row r="2544" spans="2:5" ht="33.75" customHeight="1">
      <c r="B2544" s="60">
        <v>2542</v>
      </c>
      <c r="C2544" s="61" t="s">
        <v>6405</v>
      </c>
      <c r="D2544" s="62" t="s">
        <v>6371</v>
      </c>
      <c r="E2544" s="63"/>
    </row>
    <row r="2545" spans="2:5" ht="33.75" customHeight="1">
      <c r="B2545" s="60">
        <v>2543</v>
      </c>
      <c r="C2545" s="61" t="s">
        <v>6406</v>
      </c>
      <c r="D2545" s="62" t="s">
        <v>6407</v>
      </c>
      <c r="E2545" s="63"/>
    </row>
    <row r="2546" spans="2:5" ht="33.75" customHeight="1">
      <c r="B2546" s="60">
        <v>2544</v>
      </c>
      <c r="C2546" s="61" t="s">
        <v>6408</v>
      </c>
      <c r="D2546" s="62" t="s">
        <v>6409</v>
      </c>
      <c r="E2546" s="63"/>
    </row>
    <row r="2547" spans="2:5" ht="33.75" customHeight="1">
      <c r="B2547" s="60">
        <v>2545</v>
      </c>
      <c r="C2547" s="61" t="s">
        <v>4967</v>
      </c>
      <c r="D2547" s="62" t="s">
        <v>6347</v>
      </c>
      <c r="E2547" s="63"/>
    </row>
    <row r="2548" spans="2:5" ht="33.75" customHeight="1">
      <c r="B2548" s="60">
        <v>2546</v>
      </c>
      <c r="C2548" s="61" t="s">
        <v>4970</v>
      </c>
      <c r="D2548" s="62" t="s">
        <v>6349</v>
      </c>
      <c r="E2548" s="63" t="s">
        <v>6350</v>
      </c>
    </row>
    <row r="2549" spans="2:5" ht="33.75" customHeight="1">
      <c r="B2549" s="60">
        <v>2547</v>
      </c>
      <c r="C2549" s="61" t="s">
        <v>4973</v>
      </c>
      <c r="D2549" s="62" t="s">
        <v>6392</v>
      </c>
      <c r="E2549" s="63"/>
    </row>
    <row r="2550" spans="2:5" ht="33.75" customHeight="1">
      <c r="B2550" s="60">
        <v>2548</v>
      </c>
      <c r="C2550" s="61" t="s">
        <v>6410</v>
      </c>
      <c r="D2550" s="62" t="s">
        <v>6394</v>
      </c>
      <c r="E2550" s="63"/>
    </row>
    <row r="2551" spans="2:5" ht="33.75" customHeight="1">
      <c r="B2551" s="60">
        <v>2549</v>
      </c>
      <c r="C2551" s="61" t="s">
        <v>6411</v>
      </c>
      <c r="D2551" s="62" t="s">
        <v>6412</v>
      </c>
      <c r="E2551" s="63"/>
    </row>
    <row r="2552" spans="2:5" ht="33.75" customHeight="1">
      <c r="B2552" s="60">
        <v>2550</v>
      </c>
      <c r="C2552" s="61" t="s">
        <v>6413</v>
      </c>
      <c r="D2552" s="62" t="s">
        <v>6414</v>
      </c>
      <c r="E2552" s="63" t="s">
        <v>6415</v>
      </c>
    </row>
    <row r="2553" spans="2:5" ht="33.75" customHeight="1">
      <c r="B2553" s="60">
        <v>2551</v>
      </c>
      <c r="C2553" s="61" t="s">
        <v>6416</v>
      </c>
      <c r="D2553" s="62" t="s">
        <v>6356</v>
      </c>
      <c r="E2553" s="63"/>
    </row>
    <row r="2554" spans="2:5" ht="33.75" customHeight="1">
      <c r="B2554" s="60">
        <v>2552</v>
      </c>
      <c r="C2554" s="61" t="s">
        <v>6417</v>
      </c>
      <c r="D2554" s="62" t="s">
        <v>5903</v>
      </c>
      <c r="E2554" s="63"/>
    </row>
    <row r="2555" spans="2:5" ht="33.75" customHeight="1">
      <c r="B2555" s="60">
        <v>2553</v>
      </c>
      <c r="C2555" s="61" t="s">
        <v>6418</v>
      </c>
      <c r="D2555" s="62" t="s">
        <v>6419</v>
      </c>
      <c r="E2555" s="63"/>
    </row>
    <row r="2556" spans="2:5" ht="33.75" customHeight="1">
      <c r="B2556" s="60">
        <v>2554</v>
      </c>
      <c r="C2556" s="61" t="s">
        <v>6420</v>
      </c>
      <c r="D2556" s="62" t="s">
        <v>6421</v>
      </c>
      <c r="E2556" s="63"/>
    </row>
    <row r="2557" spans="2:5" ht="33.75" customHeight="1">
      <c r="B2557" s="60">
        <v>2555</v>
      </c>
      <c r="C2557" s="61" t="s">
        <v>6422</v>
      </c>
      <c r="D2557" s="62" t="s">
        <v>6423</v>
      </c>
      <c r="E2557" s="63" t="s">
        <v>5910</v>
      </c>
    </row>
    <row r="2558" spans="2:5" ht="33.75" customHeight="1">
      <c r="B2558" s="60">
        <v>2556</v>
      </c>
      <c r="C2558" s="61" t="s">
        <v>6424</v>
      </c>
      <c r="D2558" s="62" t="s">
        <v>6425</v>
      </c>
      <c r="E2558" s="63"/>
    </row>
    <row r="2559" spans="2:5" ht="33.75" customHeight="1">
      <c r="B2559" s="60">
        <v>2557</v>
      </c>
      <c r="C2559" s="61" t="s">
        <v>6426</v>
      </c>
      <c r="D2559" s="62" t="s">
        <v>6427</v>
      </c>
      <c r="E2559" s="63"/>
    </row>
    <row r="2560" spans="2:5" ht="33.75" customHeight="1">
      <c r="B2560" s="60">
        <v>2558</v>
      </c>
      <c r="C2560" s="61" t="s">
        <v>6428</v>
      </c>
      <c r="D2560" s="62" t="s">
        <v>6429</v>
      </c>
      <c r="E2560" s="63"/>
    </row>
    <row r="2561" spans="2:5" ht="33.75" customHeight="1">
      <c r="B2561" s="60">
        <v>2559</v>
      </c>
      <c r="C2561" s="61" t="s">
        <v>6430</v>
      </c>
      <c r="D2561" s="62" t="s">
        <v>6431</v>
      </c>
      <c r="E2561" s="63"/>
    </row>
    <row r="2562" spans="2:5" ht="33.75" customHeight="1">
      <c r="B2562" s="60">
        <v>2560</v>
      </c>
      <c r="C2562" s="61" t="s">
        <v>6432</v>
      </c>
      <c r="D2562" s="62" t="s">
        <v>5919</v>
      </c>
      <c r="E2562" s="63" t="s">
        <v>5920</v>
      </c>
    </row>
    <row r="2563" spans="2:5" ht="33.75" customHeight="1">
      <c r="B2563" s="60">
        <v>2561</v>
      </c>
      <c r="C2563" s="61" t="s">
        <v>6433</v>
      </c>
      <c r="D2563" s="62" t="s">
        <v>6434</v>
      </c>
      <c r="E2563" s="63"/>
    </row>
    <row r="2564" spans="2:5" ht="33.75" customHeight="1">
      <c r="B2564" s="60">
        <v>2562</v>
      </c>
      <c r="C2564" s="61" t="s">
        <v>6435</v>
      </c>
      <c r="D2564" s="62" t="s">
        <v>6436</v>
      </c>
      <c r="E2564" s="63" t="s">
        <v>6437</v>
      </c>
    </row>
    <row r="2565" spans="2:5" ht="33.75" customHeight="1">
      <c r="B2565" s="60">
        <v>2563</v>
      </c>
      <c r="C2565" s="61" t="s">
        <v>6438</v>
      </c>
      <c r="D2565" s="62" t="s">
        <v>6439</v>
      </c>
      <c r="E2565" s="63" t="s">
        <v>6440</v>
      </c>
    </row>
    <row r="2566" spans="2:5" ht="33.75" customHeight="1">
      <c r="B2566" s="60">
        <v>2564</v>
      </c>
      <c r="C2566" s="61" t="s">
        <v>6441</v>
      </c>
      <c r="D2566" s="62" t="s">
        <v>6442</v>
      </c>
      <c r="E2566" s="63"/>
    </row>
    <row r="2567" spans="2:5" ht="33.75" customHeight="1">
      <c r="B2567" s="60">
        <v>2565</v>
      </c>
      <c r="C2567" s="61" t="s">
        <v>6443</v>
      </c>
      <c r="D2567" s="62" t="s">
        <v>6444</v>
      </c>
      <c r="E2567" s="63"/>
    </row>
    <row r="2568" spans="2:5" ht="33.75" customHeight="1">
      <c r="B2568" s="60">
        <v>2566</v>
      </c>
      <c r="C2568" s="61" t="s">
        <v>6445</v>
      </c>
      <c r="D2568" s="62" t="s">
        <v>6446</v>
      </c>
      <c r="E2568" s="63" t="s">
        <v>6447</v>
      </c>
    </row>
    <row r="2569" spans="2:5" ht="33.75" customHeight="1">
      <c r="B2569" s="60">
        <v>2567</v>
      </c>
      <c r="C2569" s="61" t="s">
        <v>6448</v>
      </c>
      <c r="D2569" s="62" t="s">
        <v>6449</v>
      </c>
      <c r="E2569" s="63"/>
    </row>
    <row r="2570" spans="2:5" ht="33.75" customHeight="1">
      <c r="B2570" s="60">
        <v>2568</v>
      </c>
      <c r="C2570" s="61" t="s">
        <v>6450</v>
      </c>
      <c r="D2570" s="62" t="s">
        <v>6451</v>
      </c>
      <c r="E2570" s="63" t="s">
        <v>5935</v>
      </c>
    </row>
    <row r="2571" spans="2:5" ht="33.75" customHeight="1">
      <c r="B2571" s="60">
        <v>2569</v>
      </c>
      <c r="C2571" s="61" t="s">
        <v>6452</v>
      </c>
      <c r="D2571" s="62" t="s">
        <v>6453</v>
      </c>
      <c r="E2571" s="63"/>
    </row>
    <row r="2572" spans="2:5" ht="33.75" customHeight="1">
      <c r="B2572" s="60">
        <v>2570</v>
      </c>
      <c r="C2572" s="61" t="s">
        <v>6454</v>
      </c>
      <c r="D2572" s="62" t="s">
        <v>6455</v>
      </c>
      <c r="E2572" s="63"/>
    </row>
    <row r="2573" spans="2:5" ht="33.75" customHeight="1">
      <c r="B2573" s="60">
        <v>2571</v>
      </c>
      <c r="C2573" s="61" t="s">
        <v>6456</v>
      </c>
      <c r="D2573" s="62" t="s">
        <v>5939</v>
      </c>
      <c r="E2573" s="63"/>
    </row>
    <row r="2574" spans="2:5" ht="33.75" customHeight="1">
      <c r="B2574" s="60">
        <v>2572</v>
      </c>
      <c r="C2574" s="61" t="s">
        <v>6457</v>
      </c>
      <c r="D2574" s="62" t="s">
        <v>5941</v>
      </c>
      <c r="E2574" s="63"/>
    </row>
    <row r="2575" spans="2:5" ht="33.75" customHeight="1">
      <c r="B2575" s="60">
        <v>2573</v>
      </c>
      <c r="C2575" s="61" t="s">
        <v>6458</v>
      </c>
      <c r="D2575" s="62" t="s">
        <v>6459</v>
      </c>
      <c r="E2575" s="63"/>
    </row>
    <row r="2576" spans="2:5" ht="33.75" customHeight="1">
      <c r="B2576" s="60">
        <v>2574</v>
      </c>
      <c r="C2576" s="61" t="s">
        <v>6460</v>
      </c>
      <c r="D2576" s="62" t="s">
        <v>6461</v>
      </c>
      <c r="E2576" s="63"/>
    </row>
    <row r="2577" spans="2:5" ht="33.75" customHeight="1">
      <c r="B2577" s="60">
        <v>2575</v>
      </c>
      <c r="C2577" s="61" t="s">
        <v>6462</v>
      </c>
      <c r="D2577" s="62" t="s">
        <v>6463</v>
      </c>
      <c r="E2577" s="63" t="s">
        <v>6464</v>
      </c>
    </row>
    <row r="2578" spans="2:5" ht="33.75" customHeight="1">
      <c r="B2578" s="60">
        <v>2576</v>
      </c>
      <c r="C2578" s="61" t="s">
        <v>6465</v>
      </c>
      <c r="D2578" s="62" t="s">
        <v>6466</v>
      </c>
      <c r="E2578" s="63"/>
    </row>
    <row r="2579" spans="2:5" ht="33.75" customHeight="1">
      <c r="B2579" s="60">
        <v>2577</v>
      </c>
      <c r="C2579" s="61" t="s">
        <v>6467</v>
      </c>
      <c r="D2579" s="62" t="s">
        <v>6468</v>
      </c>
      <c r="E2579" s="63"/>
    </row>
    <row r="2580" spans="2:5" ht="33.75" customHeight="1">
      <c r="B2580" s="60">
        <v>2578</v>
      </c>
      <c r="C2580" s="61" t="s">
        <v>6469</v>
      </c>
      <c r="D2580" s="62" t="s">
        <v>6470</v>
      </c>
      <c r="E2580" s="63"/>
    </row>
    <row r="2581" spans="2:5" ht="33.75" customHeight="1">
      <c r="B2581" s="60">
        <v>2579</v>
      </c>
      <c r="C2581" s="61" t="s">
        <v>6471</v>
      </c>
      <c r="D2581" s="62" t="s">
        <v>6431</v>
      </c>
      <c r="E2581" s="63"/>
    </row>
    <row r="2582" spans="2:5" ht="33.75" customHeight="1">
      <c r="B2582" s="60">
        <v>2580</v>
      </c>
      <c r="C2582" s="61" t="s">
        <v>6472</v>
      </c>
      <c r="D2582" s="62" t="s">
        <v>6473</v>
      </c>
      <c r="E2582" s="63"/>
    </row>
    <row r="2583" spans="2:5" ht="33.75" customHeight="1">
      <c r="B2583" s="60">
        <v>2581</v>
      </c>
      <c r="C2583" s="61" t="s">
        <v>6474</v>
      </c>
      <c r="D2583" s="62" t="s">
        <v>6475</v>
      </c>
      <c r="E2583" s="63"/>
    </row>
    <row r="2584" spans="2:5" ht="33.75" customHeight="1">
      <c r="B2584" s="60">
        <v>2582</v>
      </c>
      <c r="C2584" s="61" t="s">
        <v>6476</v>
      </c>
      <c r="D2584" s="62" t="s">
        <v>6477</v>
      </c>
      <c r="E2584" s="63"/>
    </row>
    <row r="2585" spans="2:5" ht="33.75" customHeight="1">
      <c r="B2585" s="60">
        <v>2583</v>
      </c>
      <c r="C2585" s="61" t="s">
        <v>6478</v>
      </c>
      <c r="D2585" s="62" t="s">
        <v>6479</v>
      </c>
      <c r="E2585" s="63" t="s">
        <v>6480</v>
      </c>
    </row>
    <row r="2586" spans="2:5" ht="33.75" customHeight="1">
      <c r="B2586" s="60">
        <v>2584</v>
      </c>
      <c r="C2586" s="61" t="s">
        <v>6481</v>
      </c>
      <c r="D2586" s="62" t="s">
        <v>6482</v>
      </c>
      <c r="E2586" s="63"/>
    </row>
    <row r="2587" spans="2:5" ht="33.75" customHeight="1">
      <c r="B2587" s="60">
        <v>2585</v>
      </c>
      <c r="C2587" s="61" t="s">
        <v>6483</v>
      </c>
      <c r="D2587" s="62" t="s">
        <v>6484</v>
      </c>
      <c r="E2587" s="63"/>
    </row>
    <row r="2588" spans="2:5" ht="33.75" customHeight="1">
      <c r="B2588" s="60">
        <v>2586</v>
      </c>
      <c r="C2588" s="61" t="s">
        <v>6485</v>
      </c>
      <c r="D2588" s="62" t="s">
        <v>6486</v>
      </c>
      <c r="E2588" s="63" t="s">
        <v>6487</v>
      </c>
    </row>
    <row r="2589" spans="2:5" ht="33.75" customHeight="1">
      <c r="B2589" s="60">
        <v>2587</v>
      </c>
      <c r="C2589" s="61" t="s">
        <v>6488</v>
      </c>
      <c r="D2589" s="62" t="s">
        <v>6489</v>
      </c>
      <c r="E2589" s="63" t="s">
        <v>6490</v>
      </c>
    </row>
    <row r="2590" spans="2:5" ht="33.75" customHeight="1">
      <c r="B2590" s="60">
        <v>2588</v>
      </c>
      <c r="C2590" s="61" t="s">
        <v>6491</v>
      </c>
      <c r="D2590" s="62" t="s">
        <v>6492</v>
      </c>
      <c r="E2590" s="63"/>
    </row>
    <row r="2591" spans="2:5" ht="33.75" customHeight="1">
      <c r="B2591" s="60">
        <v>2589</v>
      </c>
      <c r="C2591" s="61" t="s">
        <v>6493</v>
      </c>
      <c r="D2591" s="62" t="s">
        <v>6494</v>
      </c>
      <c r="E2591" s="63" t="s">
        <v>6495</v>
      </c>
    </row>
    <row r="2592" spans="2:5" ht="33.75" customHeight="1">
      <c r="B2592" s="60">
        <v>2590</v>
      </c>
      <c r="C2592" s="61" t="s">
        <v>6496</v>
      </c>
      <c r="D2592" s="62" t="s">
        <v>6497</v>
      </c>
      <c r="E2592" s="63"/>
    </row>
    <row r="2593" spans="2:5" ht="33.75" customHeight="1">
      <c r="B2593" s="60">
        <v>2591</v>
      </c>
      <c r="C2593" s="61" t="s">
        <v>6498</v>
      </c>
      <c r="D2593" s="62" t="s">
        <v>6455</v>
      </c>
      <c r="E2593" s="63"/>
    </row>
    <row r="2594" spans="2:5" ht="33.75" customHeight="1">
      <c r="B2594" s="60">
        <v>2592</v>
      </c>
      <c r="C2594" s="61" t="s">
        <v>6499</v>
      </c>
      <c r="D2594" s="62" t="s">
        <v>5939</v>
      </c>
      <c r="E2594" s="63" t="s">
        <v>6500</v>
      </c>
    </row>
    <row r="2595" spans="2:5" ht="33.75" customHeight="1">
      <c r="B2595" s="60">
        <v>2593</v>
      </c>
      <c r="C2595" s="61" t="s">
        <v>6501</v>
      </c>
      <c r="D2595" s="62" t="s">
        <v>6502</v>
      </c>
      <c r="E2595" s="63"/>
    </row>
    <row r="2596" spans="2:5" ht="33.75" customHeight="1">
      <c r="B2596" s="60">
        <v>2594</v>
      </c>
      <c r="C2596" s="61" t="s">
        <v>6503</v>
      </c>
      <c r="D2596" s="62" t="s">
        <v>5941</v>
      </c>
      <c r="E2596" s="63"/>
    </row>
    <row r="2597" spans="2:5" ht="33.75" customHeight="1">
      <c r="B2597" s="60">
        <v>2595</v>
      </c>
      <c r="C2597" s="61" t="s">
        <v>6504</v>
      </c>
      <c r="D2597" s="62" t="s">
        <v>6459</v>
      </c>
      <c r="E2597" s="63"/>
    </row>
    <row r="2598" spans="2:5" ht="33.75" customHeight="1">
      <c r="B2598" s="60">
        <v>2596</v>
      </c>
      <c r="C2598" s="61" t="s">
        <v>6505</v>
      </c>
      <c r="D2598" s="62" t="s">
        <v>6506</v>
      </c>
      <c r="E2598" s="63"/>
    </row>
    <row r="2599" spans="2:5" ht="33.75" customHeight="1">
      <c r="B2599" s="60">
        <v>2597</v>
      </c>
      <c r="C2599" s="61" t="s">
        <v>6507</v>
      </c>
      <c r="D2599" s="62" t="s">
        <v>6508</v>
      </c>
      <c r="E2599" s="63"/>
    </row>
    <row r="2600" spans="2:5" ht="33.75" customHeight="1">
      <c r="B2600" s="60">
        <v>2598</v>
      </c>
      <c r="C2600" s="61" t="s">
        <v>6509</v>
      </c>
      <c r="D2600" s="62" t="s">
        <v>6510</v>
      </c>
      <c r="E2600" s="63"/>
    </row>
    <row r="2601" spans="2:5" ht="33.75" customHeight="1">
      <c r="B2601" s="60">
        <v>2599</v>
      </c>
      <c r="C2601" s="61" t="s">
        <v>6511</v>
      </c>
      <c r="D2601" s="62" t="s">
        <v>6512</v>
      </c>
      <c r="E2601" s="63" t="s">
        <v>6513</v>
      </c>
    </row>
    <row r="2602" spans="2:5" ht="33.75" customHeight="1">
      <c r="B2602" s="60">
        <v>2600</v>
      </c>
      <c r="C2602" s="61" t="s">
        <v>6514</v>
      </c>
      <c r="D2602" s="62" t="s">
        <v>6515</v>
      </c>
      <c r="E2602" s="63"/>
    </row>
    <row r="2603" spans="2:5" ht="33.75" customHeight="1">
      <c r="B2603" s="60">
        <v>2601</v>
      </c>
      <c r="C2603" s="61" t="s">
        <v>6516</v>
      </c>
      <c r="D2603" s="62" t="s">
        <v>6517</v>
      </c>
      <c r="E2603" s="63"/>
    </row>
    <row r="2604" spans="2:5" ht="33.75" customHeight="1">
      <c r="B2604" s="60">
        <v>2602</v>
      </c>
      <c r="C2604" s="61" t="s">
        <v>6518</v>
      </c>
      <c r="D2604" s="62" t="s">
        <v>6431</v>
      </c>
      <c r="E2604" s="63"/>
    </row>
    <row r="2605" spans="2:5" ht="33.75" customHeight="1">
      <c r="B2605" s="60">
        <v>2603</v>
      </c>
      <c r="C2605" s="61" t="s">
        <v>6519</v>
      </c>
      <c r="D2605" s="62" t="s">
        <v>6520</v>
      </c>
      <c r="E2605" s="63"/>
    </row>
    <row r="2606" spans="2:5" ht="33.75" customHeight="1">
      <c r="B2606" s="60">
        <v>2604</v>
      </c>
      <c r="C2606" s="61" t="s">
        <v>6521</v>
      </c>
      <c r="D2606" s="62" t="s">
        <v>6522</v>
      </c>
      <c r="E2606" s="63" t="s">
        <v>6523</v>
      </c>
    </row>
    <row r="2607" spans="2:5" ht="33.75" customHeight="1">
      <c r="B2607" s="60">
        <v>2605</v>
      </c>
      <c r="C2607" s="61" t="s">
        <v>6524</v>
      </c>
      <c r="D2607" s="62" t="s">
        <v>6525</v>
      </c>
      <c r="E2607" s="63"/>
    </row>
    <row r="2608" spans="2:5" ht="33.75" customHeight="1">
      <c r="B2608" s="60">
        <v>2606</v>
      </c>
      <c r="C2608" s="61" t="s">
        <v>6526</v>
      </c>
      <c r="D2608" s="62" t="s">
        <v>6494</v>
      </c>
      <c r="E2608" s="63" t="s">
        <v>5935</v>
      </c>
    </row>
    <row r="2609" spans="2:5" ht="33.75" customHeight="1">
      <c r="B2609" s="60">
        <v>2607</v>
      </c>
      <c r="C2609" s="61" t="s">
        <v>6527</v>
      </c>
      <c r="D2609" s="62" t="s">
        <v>6528</v>
      </c>
      <c r="E2609" s="63"/>
    </row>
    <row r="2610" spans="2:5" ht="33.75" customHeight="1">
      <c r="B2610" s="60">
        <v>2608</v>
      </c>
      <c r="C2610" s="61" t="s">
        <v>6529</v>
      </c>
      <c r="D2610" s="62" t="s">
        <v>6530</v>
      </c>
      <c r="E2610" s="63"/>
    </row>
    <row r="2611" spans="2:5" ht="33.75" customHeight="1">
      <c r="B2611" s="60">
        <v>2609</v>
      </c>
      <c r="C2611" s="61" t="s">
        <v>6531</v>
      </c>
      <c r="D2611" s="62" t="s">
        <v>6532</v>
      </c>
      <c r="E2611" s="63"/>
    </row>
    <row r="2612" spans="2:5" ht="33.75" customHeight="1">
      <c r="B2612" s="60">
        <v>2610</v>
      </c>
      <c r="C2612" s="61" t="s">
        <v>6533</v>
      </c>
      <c r="D2612" s="62" t="s">
        <v>6534</v>
      </c>
      <c r="E2612" s="63"/>
    </row>
    <row r="2613" spans="2:5" ht="33.75" customHeight="1">
      <c r="B2613" s="60">
        <v>2611</v>
      </c>
      <c r="C2613" s="61" t="s">
        <v>6535</v>
      </c>
      <c r="D2613" s="62" t="s">
        <v>6502</v>
      </c>
      <c r="E2613" s="63" t="s">
        <v>6536</v>
      </c>
    </row>
    <row r="2614" spans="2:5" ht="33.75" customHeight="1">
      <c r="B2614" s="60">
        <v>2612</v>
      </c>
      <c r="C2614" s="61" t="s">
        <v>6537</v>
      </c>
      <c r="D2614" s="62" t="s">
        <v>5941</v>
      </c>
      <c r="E2614" s="63"/>
    </row>
    <row r="2615" spans="2:5" ht="33.75" customHeight="1">
      <c r="B2615" s="60">
        <v>2613</v>
      </c>
      <c r="C2615" s="61" t="s">
        <v>6538</v>
      </c>
      <c r="D2615" s="62" t="s">
        <v>5943</v>
      </c>
      <c r="E2615" s="63" t="s">
        <v>5944</v>
      </c>
    </row>
    <row r="2616" spans="2:5" ht="33.75" customHeight="1">
      <c r="B2616" s="60">
        <v>2614</v>
      </c>
      <c r="C2616" s="61" t="s">
        <v>6539</v>
      </c>
      <c r="D2616" s="62" t="s">
        <v>6540</v>
      </c>
      <c r="E2616" s="63"/>
    </row>
    <row r="2617" spans="2:5" ht="33.75" customHeight="1">
      <c r="B2617" s="60">
        <v>2615</v>
      </c>
      <c r="C2617" s="61" t="s">
        <v>6541</v>
      </c>
      <c r="D2617" s="62" t="s">
        <v>6542</v>
      </c>
      <c r="E2617" s="63"/>
    </row>
    <row r="2618" spans="2:5" ht="33.75" customHeight="1">
      <c r="B2618" s="60">
        <v>2616</v>
      </c>
      <c r="C2618" s="61" t="s">
        <v>6543</v>
      </c>
      <c r="D2618" s="62" t="s">
        <v>6544</v>
      </c>
      <c r="E2618" s="63" t="s">
        <v>6545</v>
      </c>
    </row>
    <row r="2619" spans="2:5" ht="33.75" customHeight="1">
      <c r="B2619" s="60">
        <v>2617</v>
      </c>
      <c r="C2619" s="61" t="s">
        <v>6546</v>
      </c>
      <c r="D2619" s="62" t="s">
        <v>6547</v>
      </c>
      <c r="E2619" s="63" t="s">
        <v>6548</v>
      </c>
    </row>
    <row r="2620" spans="2:5" ht="33.75" customHeight="1">
      <c r="B2620" s="60">
        <v>2618</v>
      </c>
      <c r="C2620" s="61" t="s">
        <v>6549</v>
      </c>
      <c r="D2620" s="62" t="s">
        <v>6550</v>
      </c>
      <c r="E2620" s="63"/>
    </row>
    <row r="2621" spans="2:5" ht="33.75" customHeight="1">
      <c r="B2621" s="60">
        <v>2619</v>
      </c>
      <c r="C2621" s="61" t="s">
        <v>6551</v>
      </c>
      <c r="D2621" s="62" t="s">
        <v>6552</v>
      </c>
      <c r="E2621" s="63"/>
    </row>
    <row r="2622" spans="2:5" ht="33.75" customHeight="1">
      <c r="B2622" s="60">
        <v>2620</v>
      </c>
      <c r="C2622" s="61" t="s">
        <v>6553</v>
      </c>
      <c r="D2622" s="62" t="s">
        <v>6554</v>
      </c>
      <c r="E2622" s="63"/>
    </row>
    <row r="2623" spans="2:5" ht="33.75" customHeight="1">
      <c r="B2623" s="60">
        <v>2621</v>
      </c>
      <c r="C2623" s="61" t="s">
        <v>6555</v>
      </c>
      <c r="D2623" s="62" t="s">
        <v>5957</v>
      </c>
      <c r="E2623" s="63"/>
    </row>
    <row r="2624" spans="2:5" ht="33.75" customHeight="1">
      <c r="B2624" s="60">
        <v>2622</v>
      </c>
      <c r="C2624" s="61" t="s">
        <v>6556</v>
      </c>
      <c r="D2624" s="62" t="s">
        <v>6557</v>
      </c>
      <c r="E2624" s="63" t="s">
        <v>6558</v>
      </c>
    </row>
    <row r="2625" spans="2:5" ht="33.75" customHeight="1">
      <c r="B2625" s="60">
        <v>2623</v>
      </c>
      <c r="C2625" s="61" t="s">
        <v>6559</v>
      </c>
      <c r="D2625" s="62" t="s">
        <v>6560</v>
      </c>
      <c r="E2625" s="63"/>
    </row>
    <row r="2626" spans="2:5" ht="33.75" customHeight="1">
      <c r="B2626" s="60">
        <v>2624</v>
      </c>
      <c r="C2626" s="61" t="s">
        <v>6561</v>
      </c>
      <c r="D2626" s="62" t="s">
        <v>6562</v>
      </c>
      <c r="E2626" s="63"/>
    </row>
    <row r="2627" spans="2:5" ht="33.75" customHeight="1">
      <c r="B2627" s="60">
        <v>2625</v>
      </c>
      <c r="C2627" s="61" t="s">
        <v>6563</v>
      </c>
      <c r="D2627" s="62" t="s">
        <v>6564</v>
      </c>
      <c r="E2627" s="63" t="s">
        <v>6565</v>
      </c>
    </row>
    <row r="2628" spans="2:5" ht="33.75" customHeight="1">
      <c r="B2628" s="60">
        <v>2626</v>
      </c>
      <c r="C2628" s="61" t="s">
        <v>6566</v>
      </c>
      <c r="D2628" s="62" t="s">
        <v>6567</v>
      </c>
      <c r="E2628" s="63" t="s">
        <v>6568</v>
      </c>
    </row>
    <row r="2629" spans="2:5" ht="33.75" customHeight="1">
      <c r="B2629" s="60">
        <v>2627</v>
      </c>
      <c r="C2629" s="61" t="s">
        <v>6569</v>
      </c>
      <c r="D2629" s="62" t="s">
        <v>6570</v>
      </c>
      <c r="E2629" s="63" t="s">
        <v>6571</v>
      </c>
    </row>
    <row r="2630" spans="2:5" ht="33.75" customHeight="1">
      <c r="B2630" s="60">
        <v>2628</v>
      </c>
      <c r="C2630" s="61" t="s">
        <v>6572</v>
      </c>
      <c r="D2630" s="62" t="s">
        <v>6573</v>
      </c>
      <c r="E2630" s="63"/>
    </row>
    <row r="2631" spans="2:5" ht="33.75" customHeight="1">
      <c r="B2631" s="60">
        <v>2629</v>
      </c>
      <c r="C2631" s="61" t="s">
        <v>6574</v>
      </c>
      <c r="D2631" s="62" t="s">
        <v>6575</v>
      </c>
      <c r="E2631" s="63" t="s">
        <v>6576</v>
      </c>
    </row>
    <row r="2632" spans="2:5" ht="33.75" customHeight="1">
      <c r="B2632" s="60">
        <v>2630</v>
      </c>
      <c r="C2632" s="61" t="s">
        <v>6577</v>
      </c>
      <c r="D2632" s="62" t="s">
        <v>5974</v>
      </c>
      <c r="E2632" s="63"/>
    </row>
    <row r="2633" spans="2:5" ht="33.75" customHeight="1">
      <c r="B2633" s="60">
        <v>2631</v>
      </c>
      <c r="C2633" s="61" t="s">
        <v>6578</v>
      </c>
      <c r="D2633" s="62" t="s">
        <v>6579</v>
      </c>
      <c r="E2633" s="63" t="s">
        <v>6580</v>
      </c>
    </row>
    <row r="2634" spans="2:5" ht="33.75" customHeight="1">
      <c r="B2634" s="60">
        <v>2632</v>
      </c>
      <c r="C2634" s="61" t="s">
        <v>6581</v>
      </c>
      <c r="D2634" s="62" t="s">
        <v>6582</v>
      </c>
      <c r="E2634" s="63" t="s">
        <v>6583</v>
      </c>
    </row>
    <row r="2635" spans="2:5" ht="33.75" customHeight="1">
      <c r="B2635" s="60">
        <v>2633</v>
      </c>
      <c r="C2635" s="61" t="s">
        <v>6584</v>
      </c>
      <c r="D2635" s="62" t="s">
        <v>5981</v>
      </c>
      <c r="E2635" s="63" t="s">
        <v>6585</v>
      </c>
    </row>
    <row r="2636" spans="2:5" ht="33.75" customHeight="1">
      <c r="B2636" s="60">
        <v>2634</v>
      </c>
      <c r="C2636" s="61" t="s">
        <v>6586</v>
      </c>
      <c r="D2636" s="62" t="s">
        <v>5984</v>
      </c>
      <c r="E2636" s="63"/>
    </row>
    <row r="2637" spans="2:5" ht="33.75" customHeight="1">
      <c r="B2637" s="60">
        <v>2635</v>
      </c>
      <c r="C2637" s="61" t="s">
        <v>6587</v>
      </c>
      <c r="D2637" s="62" t="s">
        <v>6588</v>
      </c>
      <c r="E2637" s="63" t="s">
        <v>6589</v>
      </c>
    </row>
    <row r="2638" spans="2:5" ht="33.75" customHeight="1">
      <c r="B2638" s="60">
        <v>2636</v>
      </c>
      <c r="C2638" s="61" t="s">
        <v>6590</v>
      </c>
      <c r="D2638" s="62" t="s">
        <v>6591</v>
      </c>
      <c r="E2638" s="63"/>
    </row>
    <row r="2639" spans="2:5" ht="33.75" customHeight="1">
      <c r="B2639" s="60">
        <v>2637</v>
      </c>
      <c r="C2639" s="61" t="s">
        <v>6592</v>
      </c>
      <c r="D2639" s="62" t="s">
        <v>6593</v>
      </c>
      <c r="E2639" s="63"/>
    </row>
    <row r="2640" spans="2:5" ht="33.75" customHeight="1">
      <c r="B2640" s="60">
        <v>2638</v>
      </c>
      <c r="C2640" s="61" t="s">
        <v>6594</v>
      </c>
      <c r="D2640" s="62" t="s">
        <v>6595</v>
      </c>
      <c r="E2640" s="63" t="s">
        <v>6596</v>
      </c>
    </row>
    <row r="2641" spans="2:5" ht="33.75" customHeight="1">
      <c r="B2641" s="60">
        <v>2639</v>
      </c>
      <c r="C2641" s="61" t="s">
        <v>6597</v>
      </c>
      <c r="D2641" s="62" t="s">
        <v>6598</v>
      </c>
      <c r="E2641" s="63" t="s">
        <v>6599</v>
      </c>
    </row>
    <row r="2642" spans="2:5" ht="33.75" customHeight="1">
      <c r="B2642" s="60">
        <v>2640</v>
      </c>
      <c r="C2642" s="61" t="s">
        <v>6600</v>
      </c>
      <c r="D2642" s="62" t="s">
        <v>6601</v>
      </c>
      <c r="E2642" s="63"/>
    </row>
    <row r="2643" spans="2:5" ht="33.75" customHeight="1">
      <c r="B2643" s="60">
        <v>2641</v>
      </c>
      <c r="C2643" s="61" t="s">
        <v>6602</v>
      </c>
      <c r="D2643" s="62" t="s">
        <v>6603</v>
      </c>
      <c r="E2643" s="63"/>
    </row>
    <row r="2644" spans="2:5" ht="33.75" customHeight="1">
      <c r="B2644" s="60">
        <v>2642</v>
      </c>
      <c r="C2644" s="61" t="s">
        <v>6604</v>
      </c>
      <c r="D2644" s="62" t="s">
        <v>6554</v>
      </c>
      <c r="E2644" s="63"/>
    </row>
    <row r="2645" spans="2:5" ht="33.75" customHeight="1">
      <c r="B2645" s="60">
        <v>2643</v>
      </c>
      <c r="C2645" s="61" t="s">
        <v>6605</v>
      </c>
      <c r="D2645" s="62" t="s">
        <v>5957</v>
      </c>
      <c r="E2645" s="63"/>
    </row>
    <row r="2646" spans="2:5" ht="33.75" customHeight="1">
      <c r="B2646" s="60">
        <v>2644</v>
      </c>
      <c r="C2646" s="61" t="s">
        <v>6606</v>
      </c>
      <c r="D2646" s="62" t="s">
        <v>6607</v>
      </c>
      <c r="E2646" s="63" t="s">
        <v>6608</v>
      </c>
    </row>
    <row r="2647" spans="2:5" ht="33.75" customHeight="1">
      <c r="B2647" s="60">
        <v>2645</v>
      </c>
      <c r="C2647" s="61" t="s">
        <v>6609</v>
      </c>
      <c r="D2647" s="62" t="s">
        <v>6610</v>
      </c>
      <c r="E2647" s="63"/>
    </row>
    <row r="2648" spans="2:5" ht="33.75" customHeight="1">
      <c r="B2648" s="60">
        <v>2646</v>
      </c>
      <c r="C2648" s="61" t="s">
        <v>6611</v>
      </c>
      <c r="D2648" s="62" t="s">
        <v>6612</v>
      </c>
      <c r="E2648" s="63" t="s">
        <v>6613</v>
      </c>
    </row>
    <row r="2649" spans="2:5" ht="33.75" customHeight="1">
      <c r="B2649" s="60">
        <v>2647</v>
      </c>
      <c r="C2649" s="61" t="s">
        <v>6614</v>
      </c>
      <c r="D2649" s="62" t="s">
        <v>6615</v>
      </c>
      <c r="E2649" s="63"/>
    </row>
    <row r="2650" spans="2:5" ht="33.75" customHeight="1">
      <c r="B2650" s="60">
        <v>2648</v>
      </c>
      <c r="C2650" s="61" t="s">
        <v>6616</v>
      </c>
      <c r="D2650" s="62" t="s">
        <v>6617</v>
      </c>
      <c r="E2650" s="63" t="s">
        <v>6618</v>
      </c>
    </row>
    <row r="2651" spans="2:5" ht="33.75" customHeight="1">
      <c r="B2651" s="60">
        <v>2649</v>
      </c>
      <c r="C2651" s="61" t="s">
        <v>6619</v>
      </c>
      <c r="D2651" s="62" t="s">
        <v>6620</v>
      </c>
      <c r="E2651" s="63" t="s">
        <v>6621</v>
      </c>
    </row>
    <row r="2652" spans="2:5" ht="33.75" customHeight="1">
      <c r="B2652" s="60">
        <v>2650</v>
      </c>
      <c r="C2652" s="61" t="s">
        <v>6622</v>
      </c>
      <c r="D2652" s="62" t="s">
        <v>6623</v>
      </c>
      <c r="E2652" s="63"/>
    </row>
    <row r="2653" spans="2:5" ht="33.75" customHeight="1">
      <c r="B2653" s="60">
        <v>2651</v>
      </c>
      <c r="C2653" s="61" t="s">
        <v>6624</v>
      </c>
      <c r="D2653" s="62" t="s">
        <v>6625</v>
      </c>
      <c r="E2653" s="63" t="s">
        <v>6626</v>
      </c>
    </row>
    <row r="2654" spans="2:5" ht="33.75" customHeight="1">
      <c r="B2654" s="60">
        <v>2652</v>
      </c>
      <c r="C2654" s="61" t="s">
        <v>6627</v>
      </c>
      <c r="D2654" s="62" t="s">
        <v>5974</v>
      </c>
      <c r="E2654" s="63"/>
    </row>
    <row r="2655" spans="2:5" ht="33.75" customHeight="1">
      <c r="B2655" s="60">
        <v>2653</v>
      </c>
      <c r="C2655" s="61" t="s">
        <v>6628</v>
      </c>
      <c r="D2655" s="62" t="s">
        <v>6579</v>
      </c>
      <c r="E2655" s="63" t="s">
        <v>6580</v>
      </c>
    </row>
    <row r="2656" spans="2:5" ht="33.75" customHeight="1">
      <c r="B2656" s="60">
        <v>2654</v>
      </c>
      <c r="C2656" s="61" t="s">
        <v>6629</v>
      </c>
      <c r="D2656" s="62" t="s">
        <v>6582</v>
      </c>
      <c r="E2656" s="63" t="s">
        <v>6583</v>
      </c>
    </row>
    <row r="2657" spans="2:5" ht="33.75" customHeight="1">
      <c r="B2657" s="60">
        <v>2655</v>
      </c>
      <c r="C2657" s="61" t="s">
        <v>6630</v>
      </c>
      <c r="D2657" s="62" t="s">
        <v>5981</v>
      </c>
      <c r="E2657" s="63" t="s">
        <v>6631</v>
      </c>
    </row>
    <row r="2658" spans="2:5" ht="33.75" customHeight="1">
      <c r="B2658" s="60">
        <v>2656</v>
      </c>
      <c r="C2658" s="61" t="s">
        <v>6632</v>
      </c>
      <c r="D2658" s="62" t="s">
        <v>5984</v>
      </c>
      <c r="E2658" s="63"/>
    </row>
    <row r="2659" spans="2:5" ht="33.75" customHeight="1">
      <c r="B2659" s="60">
        <v>2657</v>
      </c>
      <c r="C2659" s="61" t="s">
        <v>6633</v>
      </c>
      <c r="D2659" s="62" t="s">
        <v>6634</v>
      </c>
      <c r="E2659" s="63" t="s">
        <v>6635</v>
      </c>
    </row>
    <row r="2660" spans="2:5" ht="33.75" customHeight="1">
      <c r="B2660" s="60">
        <v>2658</v>
      </c>
      <c r="C2660" s="61" t="s">
        <v>6636</v>
      </c>
      <c r="D2660" s="62" t="s">
        <v>6637</v>
      </c>
      <c r="E2660" s="63"/>
    </row>
    <row r="2661" spans="2:5" ht="33.75" customHeight="1">
      <c r="B2661" s="60">
        <v>2659</v>
      </c>
      <c r="C2661" s="61" t="s">
        <v>6638</v>
      </c>
      <c r="D2661" s="62" t="s">
        <v>6639</v>
      </c>
      <c r="E2661" s="63"/>
    </row>
    <row r="2662" spans="2:5" ht="33.75" customHeight="1">
      <c r="B2662" s="60">
        <v>2660</v>
      </c>
      <c r="C2662" s="61" t="s">
        <v>6640</v>
      </c>
      <c r="D2662" s="62" t="s">
        <v>6641</v>
      </c>
      <c r="E2662" s="63"/>
    </row>
    <row r="2663" spans="2:5" ht="33.75" customHeight="1">
      <c r="B2663" s="60">
        <v>2661</v>
      </c>
      <c r="C2663" s="61" t="s">
        <v>6642</v>
      </c>
      <c r="D2663" s="62" t="s">
        <v>6643</v>
      </c>
      <c r="E2663" s="63"/>
    </row>
    <row r="2664" spans="2:5" ht="33.75" customHeight="1">
      <c r="B2664" s="60">
        <v>2662</v>
      </c>
      <c r="C2664" s="61" t="s">
        <v>6644</v>
      </c>
      <c r="D2664" s="62" t="s">
        <v>6645</v>
      </c>
      <c r="E2664" s="63"/>
    </row>
    <row r="2665" spans="2:5" ht="33.75" customHeight="1">
      <c r="B2665" s="60">
        <v>2663</v>
      </c>
      <c r="C2665" s="61" t="s">
        <v>6646</v>
      </c>
      <c r="D2665" s="62" t="s">
        <v>6173</v>
      </c>
      <c r="E2665" s="63"/>
    </row>
    <row r="2666" spans="2:5" ht="33.75" customHeight="1">
      <c r="B2666" s="60">
        <v>2664</v>
      </c>
      <c r="C2666" s="61" t="s">
        <v>6647</v>
      </c>
      <c r="D2666" s="62" t="s">
        <v>6175</v>
      </c>
      <c r="E2666" s="63"/>
    </row>
    <row r="2667" spans="2:5" ht="33.75" customHeight="1">
      <c r="B2667" s="60">
        <v>2665</v>
      </c>
      <c r="C2667" s="61" t="s">
        <v>6648</v>
      </c>
      <c r="D2667" s="62" t="s">
        <v>6407</v>
      </c>
      <c r="E2667" s="63"/>
    </row>
    <row r="2668" spans="2:5" ht="33.75" customHeight="1">
      <c r="B2668" s="60">
        <v>2666</v>
      </c>
      <c r="C2668" s="61" t="s">
        <v>6649</v>
      </c>
      <c r="D2668" s="62" t="s">
        <v>6650</v>
      </c>
      <c r="E2668" s="63"/>
    </row>
    <row r="2669" spans="2:5" ht="33.75" customHeight="1">
      <c r="B2669" s="60">
        <v>2667</v>
      </c>
      <c r="C2669" s="61" t="s">
        <v>6651</v>
      </c>
      <c r="D2669" s="62" t="s">
        <v>6652</v>
      </c>
      <c r="E2669" s="63"/>
    </row>
    <row r="2670" spans="2:5" ht="33.75" customHeight="1">
      <c r="B2670" s="60">
        <v>2668</v>
      </c>
      <c r="C2670" s="61" t="s">
        <v>6653</v>
      </c>
      <c r="D2670" s="62" t="s">
        <v>5974</v>
      </c>
      <c r="E2670" s="63"/>
    </row>
    <row r="2671" spans="2:5" ht="33.75" customHeight="1">
      <c r="B2671" s="60">
        <v>2669</v>
      </c>
      <c r="C2671" s="61" t="s">
        <v>6654</v>
      </c>
      <c r="D2671" s="62" t="s">
        <v>6655</v>
      </c>
      <c r="E2671" s="63" t="s">
        <v>6656</v>
      </c>
    </row>
    <row r="2672" spans="2:5" ht="33.75" customHeight="1">
      <c r="B2672" s="60">
        <v>2670</v>
      </c>
      <c r="C2672" s="61" t="s">
        <v>6657</v>
      </c>
      <c r="D2672" s="62" t="s">
        <v>6658</v>
      </c>
      <c r="E2672" s="63"/>
    </row>
    <row r="2673" spans="2:5" ht="33.75" customHeight="1">
      <c r="B2673" s="60">
        <v>2671</v>
      </c>
      <c r="C2673" s="61" t="s">
        <v>6659</v>
      </c>
      <c r="D2673" s="62" t="s">
        <v>6660</v>
      </c>
      <c r="E2673" s="63"/>
    </row>
    <row r="2674" spans="2:5" ht="33.75" customHeight="1">
      <c r="B2674" s="60">
        <v>2672</v>
      </c>
      <c r="C2674" s="61" t="s">
        <v>6661</v>
      </c>
      <c r="D2674" s="62" t="s">
        <v>6582</v>
      </c>
      <c r="E2674" s="63" t="s">
        <v>6583</v>
      </c>
    </row>
    <row r="2675" spans="2:5" ht="33.75" customHeight="1">
      <c r="B2675" s="60">
        <v>2673</v>
      </c>
      <c r="C2675" s="61" t="s">
        <v>6662</v>
      </c>
      <c r="D2675" s="62" t="s">
        <v>6663</v>
      </c>
      <c r="E2675" s="63" t="s">
        <v>6664</v>
      </c>
    </row>
    <row r="2676" spans="2:5" ht="33.75" customHeight="1">
      <c r="B2676" s="60">
        <v>2674</v>
      </c>
      <c r="C2676" s="61" t="s">
        <v>6665</v>
      </c>
      <c r="D2676" s="62" t="s">
        <v>6666</v>
      </c>
      <c r="E2676" s="63" t="s">
        <v>6667</v>
      </c>
    </row>
    <row r="2677" spans="2:5" ht="33.75" customHeight="1">
      <c r="B2677" s="60">
        <v>2675</v>
      </c>
      <c r="C2677" s="61" t="s">
        <v>6668</v>
      </c>
      <c r="D2677" s="62" t="s">
        <v>5984</v>
      </c>
      <c r="E2677" s="63"/>
    </row>
    <row r="2678" spans="2:5" ht="33.75" customHeight="1">
      <c r="B2678" s="60">
        <v>2676</v>
      </c>
      <c r="C2678" s="61" t="s">
        <v>6669</v>
      </c>
      <c r="D2678" s="62" t="s">
        <v>5827</v>
      </c>
      <c r="E2678" s="63" t="s">
        <v>6670</v>
      </c>
    </row>
    <row r="2679" spans="2:5" ht="33.75" customHeight="1">
      <c r="B2679" s="60">
        <v>2677</v>
      </c>
      <c r="C2679" s="61" t="s">
        <v>6671</v>
      </c>
      <c r="D2679" s="62" t="s">
        <v>6200</v>
      </c>
      <c r="E2679" s="63"/>
    </row>
    <row r="2680" spans="2:5" ht="33.75" customHeight="1">
      <c r="B2680" s="60">
        <v>2678</v>
      </c>
      <c r="C2680" s="61" t="s">
        <v>6672</v>
      </c>
      <c r="D2680" s="62" t="s">
        <v>6099</v>
      </c>
      <c r="E2680" s="63" t="s">
        <v>6673</v>
      </c>
    </row>
    <row r="2681" spans="2:5" ht="33.75" customHeight="1">
      <c r="B2681" s="60">
        <v>2679</v>
      </c>
      <c r="C2681" s="61" t="s">
        <v>6674</v>
      </c>
      <c r="D2681" s="62" t="s">
        <v>5991</v>
      </c>
      <c r="E2681" s="63"/>
    </row>
    <row r="2682" spans="2:5" ht="33.75" customHeight="1">
      <c r="B2682" s="60">
        <v>2680</v>
      </c>
      <c r="C2682" s="61" t="s">
        <v>6675</v>
      </c>
      <c r="D2682" s="62" t="s">
        <v>6676</v>
      </c>
      <c r="E2682" s="63"/>
    </row>
    <row r="2683" spans="2:5" ht="33.75" customHeight="1">
      <c r="B2683" s="60">
        <v>2681</v>
      </c>
      <c r="C2683" s="61" t="s">
        <v>6677</v>
      </c>
      <c r="D2683" s="62" t="s">
        <v>6107</v>
      </c>
      <c r="E2683" s="63" t="s">
        <v>6678</v>
      </c>
    </row>
    <row r="2684" spans="2:5" ht="33.75" customHeight="1">
      <c r="B2684" s="60">
        <v>2682</v>
      </c>
      <c r="C2684" s="61" t="s">
        <v>6679</v>
      </c>
      <c r="D2684" s="62" t="s">
        <v>6110</v>
      </c>
      <c r="E2684" s="63"/>
    </row>
    <row r="2685" spans="2:5" ht="33.75" customHeight="1">
      <c r="B2685" s="60">
        <v>2683</v>
      </c>
      <c r="C2685" s="61" t="s">
        <v>6680</v>
      </c>
      <c r="D2685" s="62" t="s">
        <v>5998</v>
      </c>
      <c r="E2685" s="63"/>
    </row>
    <row r="2686" spans="2:5" ht="33.75" customHeight="1">
      <c r="B2686" s="60">
        <v>2684</v>
      </c>
      <c r="C2686" s="61" t="s">
        <v>6681</v>
      </c>
      <c r="D2686" s="62" t="s">
        <v>6682</v>
      </c>
      <c r="E2686" s="63"/>
    </row>
    <row r="2687" spans="2:5" ht="33.75" customHeight="1">
      <c r="B2687" s="60">
        <v>2685</v>
      </c>
      <c r="C2687" s="61" t="s">
        <v>6683</v>
      </c>
      <c r="D2687" s="62" t="s">
        <v>6684</v>
      </c>
      <c r="E2687" s="63"/>
    </row>
    <row r="2688" spans="2:5" ht="33.75" customHeight="1">
      <c r="B2688" s="60">
        <v>2686</v>
      </c>
      <c r="C2688" s="61" t="s">
        <v>6685</v>
      </c>
      <c r="D2688" s="62" t="s">
        <v>6686</v>
      </c>
      <c r="E2688" s="63"/>
    </row>
    <row r="2689" spans="2:5" ht="33.75" customHeight="1">
      <c r="B2689" s="60">
        <v>2687</v>
      </c>
      <c r="C2689" s="61" t="s">
        <v>6687</v>
      </c>
      <c r="D2689" s="62" t="s">
        <v>6004</v>
      </c>
      <c r="E2689" s="63"/>
    </row>
    <row r="2690" spans="2:5" ht="33.75" customHeight="1">
      <c r="B2690" s="60">
        <v>2688</v>
      </c>
      <c r="C2690" s="61" t="s">
        <v>6688</v>
      </c>
      <c r="D2690" s="62" t="s">
        <v>6689</v>
      </c>
      <c r="E2690" s="63"/>
    </row>
    <row r="2691" spans="2:5" ht="33.75" customHeight="1">
      <c r="B2691" s="60">
        <v>2689</v>
      </c>
      <c r="C2691" s="61" t="s">
        <v>6690</v>
      </c>
      <c r="D2691" s="62" t="s">
        <v>6223</v>
      </c>
      <c r="E2691" s="63"/>
    </row>
    <row r="2692" spans="2:5" ht="33.75" customHeight="1">
      <c r="B2692" s="60">
        <v>2690</v>
      </c>
      <c r="C2692" s="61" t="s">
        <v>6691</v>
      </c>
      <c r="D2692" s="62" t="s">
        <v>6010</v>
      </c>
      <c r="E2692" s="63"/>
    </row>
    <row r="2693" spans="2:5" ht="33.75" customHeight="1">
      <c r="B2693" s="60">
        <v>2691</v>
      </c>
      <c r="C2693" s="61" t="s">
        <v>6692</v>
      </c>
      <c r="D2693" s="62" t="s">
        <v>6693</v>
      </c>
      <c r="E2693" s="63"/>
    </row>
    <row r="2694" spans="2:5" ht="33.75" customHeight="1">
      <c r="B2694" s="60">
        <v>2692</v>
      </c>
      <c r="C2694" s="61" t="s">
        <v>6694</v>
      </c>
      <c r="D2694" s="62" t="s">
        <v>6695</v>
      </c>
      <c r="E2694" s="63"/>
    </row>
    <row r="2695" spans="2:5" ht="33.75" customHeight="1">
      <c r="B2695" s="60">
        <v>2693</v>
      </c>
      <c r="C2695" s="61" t="s">
        <v>6696</v>
      </c>
      <c r="D2695" s="62" t="s">
        <v>6697</v>
      </c>
      <c r="E2695" s="63" t="s">
        <v>6698</v>
      </c>
    </row>
    <row r="2696" spans="2:5" ht="33.75" customHeight="1">
      <c r="B2696" s="60">
        <v>2694</v>
      </c>
      <c r="C2696" s="61" t="s">
        <v>6699</v>
      </c>
      <c r="D2696" s="62" t="s">
        <v>6700</v>
      </c>
      <c r="E2696" s="63"/>
    </row>
    <row r="2697" spans="2:5" ht="33.75" customHeight="1">
      <c r="B2697" s="60">
        <v>2695</v>
      </c>
      <c r="C2697" s="61" t="s">
        <v>6701</v>
      </c>
      <c r="D2697" s="62" t="s">
        <v>6131</v>
      </c>
      <c r="E2697" s="63"/>
    </row>
    <row r="2698" spans="2:5" ht="33.75" customHeight="1">
      <c r="B2698" s="60">
        <v>2696</v>
      </c>
      <c r="C2698" s="61" t="s">
        <v>6702</v>
      </c>
      <c r="D2698" s="62" t="s">
        <v>6703</v>
      </c>
      <c r="E2698" s="63"/>
    </row>
    <row r="2699" spans="2:5" ht="33.75" customHeight="1">
      <c r="B2699" s="60">
        <v>2697</v>
      </c>
      <c r="C2699" s="61" t="s">
        <v>6704</v>
      </c>
      <c r="D2699" s="62" t="s">
        <v>6705</v>
      </c>
      <c r="E2699" s="63" t="s">
        <v>6706</v>
      </c>
    </row>
    <row r="2700" spans="2:5" ht="33.75" customHeight="1">
      <c r="B2700" s="60">
        <v>2698</v>
      </c>
      <c r="C2700" s="61" t="s">
        <v>6707</v>
      </c>
      <c r="D2700" s="62" t="s">
        <v>6708</v>
      </c>
      <c r="E2700" s="63"/>
    </row>
    <row r="2701" spans="2:5" ht="33.75" customHeight="1">
      <c r="B2701" s="60">
        <v>2699</v>
      </c>
      <c r="C2701" s="61" t="s">
        <v>6709</v>
      </c>
      <c r="D2701" s="62" t="s">
        <v>6710</v>
      </c>
      <c r="E2701" s="63"/>
    </row>
    <row r="2702" spans="2:5" ht="33.75" customHeight="1">
      <c r="B2702" s="60">
        <v>2700</v>
      </c>
      <c r="C2702" s="61" t="s">
        <v>6711</v>
      </c>
      <c r="D2702" s="62" t="s">
        <v>6712</v>
      </c>
      <c r="E2702" s="63" t="s">
        <v>6713</v>
      </c>
    </row>
    <row r="2703" spans="2:5" ht="33.75" customHeight="1">
      <c r="B2703" s="60">
        <v>2701</v>
      </c>
      <c r="C2703" s="61" t="s">
        <v>6714</v>
      </c>
      <c r="D2703" s="62" t="s">
        <v>6715</v>
      </c>
      <c r="E2703" s="63"/>
    </row>
    <row r="2704" spans="2:5" ht="33.75" customHeight="1">
      <c r="B2704" s="60">
        <v>2702</v>
      </c>
      <c r="C2704" s="61" t="s">
        <v>6716</v>
      </c>
      <c r="D2704" s="62" t="s">
        <v>5998</v>
      </c>
      <c r="E2704" s="63"/>
    </row>
    <row r="2705" spans="2:5" ht="33.75" customHeight="1">
      <c r="B2705" s="60">
        <v>2703</v>
      </c>
      <c r="C2705" s="61" t="s">
        <v>6717</v>
      </c>
      <c r="D2705" s="62" t="s">
        <v>6140</v>
      </c>
      <c r="E2705" s="63"/>
    </row>
    <row r="2706" spans="2:5" ht="33.75" customHeight="1">
      <c r="B2706" s="60">
        <v>2704</v>
      </c>
      <c r="C2706" s="61" t="s">
        <v>6718</v>
      </c>
      <c r="D2706" s="62" t="s">
        <v>6719</v>
      </c>
      <c r="E2706" s="63"/>
    </row>
    <row r="2707" spans="2:5" ht="33.75" customHeight="1">
      <c r="B2707" s="60">
        <v>2705</v>
      </c>
      <c r="C2707" s="61" t="s">
        <v>6720</v>
      </c>
      <c r="D2707" s="62" t="s">
        <v>6721</v>
      </c>
      <c r="E2707" s="63"/>
    </row>
    <row r="2708" spans="2:5" ht="33.75" customHeight="1">
      <c r="B2708" s="60">
        <v>2706</v>
      </c>
      <c r="C2708" s="61" t="s">
        <v>6722</v>
      </c>
      <c r="D2708" s="62" t="s">
        <v>6004</v>
      </c>
      <c r="E2708" s="63"/>
    </row>
    <row r="2709" spans="2:5" ht="33.75" customHeight="1">
      <c r="B2709" s="60">
        <v>2707</v>
      </c>
      <c r="C2709" s="61" t="s">
        <v>6723</v>
      </c>
      <c r="D2709" s="62" t="s">
        <v>6724</v>
      </c>
      <c r="E2709" s="63"/>
    </row>
    <row r="2710" spans="2:5" ht="33.75" customHeight="1">
      <c r="B2710" s="60">
        <v>2708</v>
      </c>
      <c r="C2710" s="61" t="s">
        <v>6725</v>
      </c>
      <c r="D2710" s="62" t="s">
        <v>6726</v>
      </c>
      <c r="E2710" s="63"/>
    </row>
    <row r="2711" spans="2:5" ht="33.75" customHeight="1">
      <c r="B2711" s="60">
        <v>2709</v>
      </c>
      <c r="C2711" s="61" t="s">
        <v>6727</v>
      </c>
      <c r="D2711" s="62" t="s">
        <v>6010</v>
      </c>
      <c r="E2711" s="63"/>
    </row>
    <row r="2712" spans="2:5" ht="33.75" customHeight="1">
      <c r="B2712" s="60">
        <v>2710</v>
      </c>
      <c r="C2712" s="61" t="s">
        <v>6728</v>
      </c>
      <c r="D2712" s="62" t="s">
        <v>6693</v>
      </c>
      <c r="E2712" s="63"/>
    </row>
    <row r="2713" spans="2:5" ht="33.75" customHeight="1">
      <c r="B2713" s="60">
        <v>2711</v>
      </c>
      <c r="C2713" s="61" t="s">
        <v>6729</v>
      </c>
      <c r="D2713" s="62" t="s">
        <v>6730</v>
      </c>
      <c r="E2713" s="63" t="s">
        <v>6731</v>
      </c>
    </row>
    <row r="2714" spans="2:5" ht="33.75" customHeight="1">
      <c r="B2714" s="60">
        <v>2712</v>
      </c>
      <c r="C2714" s="61" t="s">
        <v>6732</v>
      </c>
      <c r="D2714" s="62" t="s">
        <v>6733</v>
      </c>
      <c r="E2714" s="63" t="s">
        <v>6734</v>
      </c>
    </row>
    <row r="2715" spans="2:5" ht="33.75" customHeight="1">
      <c r="B2715" s="60">
        <v>2713</v>
      </c>
      <c r="C2715" s="61" t="s">
        <v>6735</v>
      </c>
      <c r="D2715" s="62" t="s">
        <v>6736</v>
      </c>
      <c r="E2715" s="63"/>
    </row>
    <row r="2716" spans="2:5" ht="33.75" customHeight="1">
      <c r="B2716" s="60">
        <v>2714</v>
      </c>
      <c r="C2716" s="61" t="s">
        <v>6737</v>
      </c>
      <c r="D2716" s="62" t="s">
        <v>6738</v>
      </c>
      <c r="E2716" s="63"/>
    </row>
    <row r="2717" spans="2:5" ht="33.75" customHeight="1">
      <c r="B2717" s="60">
        <v>2715</v>
      </c>
      <c r="C2717" s="61" t="s">
        <v>6739</v>
      </c>
      <c r="D2717" s="62" t="s">
        <v>6161</v>
      </c>
      <c r="E2717" s="63" t="s">
        <v>6162</v>
      </c>
    </row>
    <row r="2718" spans="2:5" ht="33.75" customHeight="1">
      <c r="B2718" s="60">
        <v>2716</v>
      </c>
      <c r="C2718" s="61" t="s">
        <v>6740</v>
      </c>
      <c r="D2718" s="62" t="s">
        <v>6164</v>
      </c>
      <c r="E2718" s="63"/>
    </row>
    <row r="2719" spans="2:5" ht="33.75" customHeight="1">
      <c r="B2719" s="60">
        <v>2717</v>
      </c>
      <c r="C2719" s="61" t="s">
        <v>6741</v>
      </c>
      <c r="D2719" s="62" t="s">
        <v>6167</v>
      </c>
      <c r="E2719" s="63"/>
    </row>
    <row r="2720" spans="2:5" ht="33.75" customHeight="1">
      <c r="B2720" s="60">
        <v>2718</v>
      </c>
      <c r="C2720" s="61" t="s">
        <v>6742</v>
      </c>
      <c r="D2720" s="62" t="s">
        <v>6169</v>
      </c>
      <c r="E2720" s="63"/>
    </row>
    <row r="2721" spans="2:5" ht="33.75" customHeight="1">
      <c r="B2721" s="60">
        <v>2719</v>
      </c>
      <c r="C2721" s="61" t="s">
        <v>6743</v>
      </c>
      <c r="D2721" s="62" t="s">
        <v>6171</v>
      </c>
      <c r="E2721" s="63"/>
    </row>
    <row r="2722" spans="2:5" ht="33.75" customHeight="1">
      <c r="B2722" s="60">
        <v>2720</v>
      </c>
      <c r="C2722" s="61" t="s">
        <v>6744</v>
      </c>
      <c r="D2722" s="62" t="s">
        <v>6745</v>
      </c>
      <c r="E2722" s="63"/>
    </row>
    <row r="2723" spans="2:5" ht="33.75" customHeight="1">
      <c r="B2723" s="60">
        <v>2721</v>
      </c>
      <c r="C2723" s="61" t="s">
        <v>6746</v>
      </c>
      <c r="D2723" s="62" t="s">
        <v>6175</v>
      </c>
      <c r="E2723" s="63"/>
    </row>
    <row r="2724" spans="2:5" ht="33.75" customHeight="1">
      <c r="B2724" s="60">
        <v>2722</v>
      </c>
      <c r="C2724" s="61" t="s">
        <v>6747</v>
      </c>
      <c r="D2724" s="62" t="s">
        <v>6177</v>
      </c>
      <c r="E2724" s="63"/>
    </row>
    <row r="2725" spans="2:5" ht="33.75" customHeight="1">
      <c r="B2725" s="60">
        <v>2723</v>
      </c>
      <c r="C2725" s="61" t="s">
        <v>6748</v>
      </c>
      <c r="D2725" s="62" t="s">
        <v>6180</v>
      </c>
      <c r="E2725" s="63" t="s">
        <v>6749</v>
      </c>
    </row>
    <row r="2726" spans="2:5" ht="33.75" customHeight="1">
      <c r="B2726" s="60">
        <v>2724</v>
      </c>
      <c r="C2726" s="61" t="s">
        <v>6750</v>
      </c>
      <c r="D2726" s="62" t="s">
        <v>6693</v>
      </c>
      <c r="E2726" s="63"/>
    </row>
    <row r="2727" spans="2:5" ht="33.75" customHeight="1">
      <c r="B2727" s="60">
        <v>2725</v>
      </c>
      <c r="C2727" s="61" t="s">
        <v>6751</v>
      </c>
      <c r="D2727" s="62" t="s">
        <v>6752</v>
      </c>
      <c r="E2727" s="63" t="s">
        <v>6753</v>
      </c>
    </row>
    <row r="2728" spans="2:5" ht="33.75" customHeight="1">
      <c r="B2728" s="60">
        <v>2726</v>
      </c>
      <c r="C2728" s="61" t="s">
        <v>6754</v>
      </c>
      <c r="D2728" s="62" t="s">
        <v>6755</v>
      </c>
      <c r="E2728" s="63"/>
    </row>
    <row r="2729" spans="2:5" ht="33.75" customHeight="1">
      <c r="B2729" s="60">
        <v>2727</v>
      </c>
      <c r="C2729" s="61" t="s">
        <v>6756</v>
      </c>
      <c r="D2729" s="62" t="s">
        <v>6757</v>
      </c>
      <c r="E2729" s="63"/>
    </row>
    <row r="2730" spans="2:5" ht="33.75" customHeight="1">
      <c r="B2730" s="60">
        <v>2728</v>
      </c>
      <c r="C2730" s="61" t="s">
        <v>6758</v>
      </c>
      <c r="D2730" s="62" t="s">
        <v>6759</v>
      </c>
      <c r="E2730" s="63"/>
    </row>
    <row r="2731" spans="2:5" ht="33.75" customHeight="1">
      <c r="B2731" s="60">
        <v>2729</v>
      </c>
      <c r="C2731" s="61" t="s">
        <v>6760</v>
      </c>
      <c r="D2731" s="62" t="s">
        <v>6761</v>
      </c>
      <c r="E2731" s="63" t="s">
        <v>6762</v>
      </c>
    </row>
    <row r="2732" spans="2:5" ht="33.75" customHeight="1">
      <c r="B2732" s="60">
        <v>2730</v>
      </c>
      <c r="C2732" s="61" t="s">
        <v>6763</v>
      </c>
      <c r="D2732" s="62" t="s">
        <v>6764</v>
      </c>
      <c r="E2732" s="63"/>
    </row>
    <row r="2733" spans="2:5" ht="33.75" customHeight="1">
      <c r="B2733" s="60">
        <v>2731</v>
      </c>
      <c r="C2733" s="61" t="s">
        <v>6765</v>
      </c>
      <c r="D2733" s="62" t="s">
        <v>6766</v>
      </c>
      <c r="E2733" s="63" t="s">
        <v>6020</v>
      </c>
    </row>
    <row r="2734" spans="2:5" ht="33.75" customHeight="1">
      <c r="B2734" s="60">
        <v>2732</v>
      </c>
      <c r="C2734" s="61" t="s">
        <v>6767</v>
      </c>
      <c r="D2734" s="62" t="s">
        <v>6768</v>
      </c>
      <c r="E2734" s="63"/>
    </row>
    <row r="2735" spans="2:5" ht="33.75" customHeight="1">
      <c r="B2735" s="60">
        <v>2733</v>
      </c>
      <c r="C2735" s="61" t="s">
        <v>6769</v>
      </c>
      <c r="D2735" s="62" t="s">
        <v>6770</v>
      </c>
      <c r="E2735" s="63" t="s">
        <v>6771</v>
      </c>
    </row>
    <row r="2736" spans="2:5" ht="33.75" customHeight="1">
      <c r="B2736" s="60">
        <v>2734</v>
      </c>
      <c r="C2736" s="61" t="s">
        <v>6772</v>
      </c>
      <c r="D2736" s="62" t="s">
        <v>6773</v>
      </c>
      <c r="E2736" s="63"/>
    </row>
    <row r="2737" spans="2:5" ht="33.75" customHeight="1">
      <c r="B2737" s="60">
        <v>2735</v>
      </c>
      <c r="C2737" s="61" t="s">
        <v>6774</v>
      </c>
      <c r="D2737" s="62" t="s">
        <v>6775</v>
      </c>
      <c r="E2737" s="63" t="s">
        <v>6776</v>
      </c>
    </row>
    <row r="2738" spans="2:5" ht="33.75" customHeight="1">
      <c r="B2738" s="60">
        <v>2736</v>
      </c>
      <c r="C2738" s="61" t="s">
        <v>6777</v>
      </c>
      <c r="D2738" s="62" t="s">
        <v>6778</v>
      </c>
      <c r="E2738" s="63"/>
    </row>
    <row r="2739" spans="2:5" ht="33.75" customHeight="1">
      <c r="B2739" s="60">
        <v>2737</v>
      </c>
      <c r="C2739" s="61" t="s">
        <v>6779</v>
      </c>
      <c r="D2739" s="62" t="s">
        <v>6780</v>
      </c>
      <c r="E2739" s="63"/>
    </row>
    <row r="2740" spans="2:5" ht="33.75" customHeight="1">
      <c r="B2740" s="60">
        <v>2738</v>
      </c>
      <c r="C2740" s="61" t="s">
        <v>6781</v>
      </c>
      <c r="D2740" s="62" t="s">
        <v>6782</v>
      </c>
      <c r="E2740" s="63"/>
    </row>
    <row r="2741" spans="2:5" ht="33.75" customHeight="1">
      <c r="B2741" s="60">
        <v>2739</v>
      </c>
      <c r="C2741" s="61" t="s">
        <v>6783</v>
      </c>
      <c r="D2741" s="62" t="s">
        <v>6784</v>
      </c>
      <c r="E2741" s="63" t="s">
        <v>6785</v>
      </c>
    </row>
    <row r="2742" spans="2:5" ht="33.75" customHeight="1">
      <c r="B2742" s="60">
        <v>2740</v>
      </c>
      <c r="C2742" s="61" t="s">
        <v>6786</v>
      </c>
      <c r="D2742" s="62" t="s">
        <v>6560</v>
      </c>
      <c r="E2742" s="63"/>
    </row>
    <row r="2743" spans="2:5" ht="33.75" customHeight="1">
      <c r="B2743" s="60">
        <v>2741</v>
      </c>
      <c r="C2743" s="61" t="s">
        <v>6787</v>
      </c>
      <c r="D2743" s="62" t="s">
        <v>6788</v>
      </c>
      <c r="E2743" s="63"/>
    </row>
    <row r="2744" spans="2:5" ht="33.75" customHeight="1">
      <c r="B2744" s="60">
        <v>2742</v>
      </c>
      <c r="C2744" s="61" t="s">
        <v>6789</v>
      </c>
      <c r="D2744" s="62" t="s">
        <v>6790</v>
      </c>
      <c r="E2744" s="63"/>
    </row>
    <row r="2745" spans="2:5" ht="33.75" customHeight="1">
      <c r="B2745" s="60">
        <v>2743</v>
      </c>
      <c r="C2745" s="61" t="s">
        <v>6791</v>
      </c>
      <c r="D2745" s="62" t="s">
        <v>6792</v>
      </c>
      <c r="E2745" s="63"/>
    </row>
    <row r="2746" spans="2:5" ht="33.75" customHeight="1">
      <c r="B2746" s="60">
        <v>2744</v>
      </c>
      <c r="C2746" s="61" t="s">
        <v>6793</v>
      </c>
      <c r="D2746" s="62" t="s">
        <v>6794</v>
      </c>
      <c r="E2746" s="63"/>
    </row>
    <row r="2747" spans="2:5" ht="33.75" customHeight="1">
      <c r="B2747" s="60">
        <v>2745</v>
      </c>
      <c r="C2747" s="61" t="s">
        <v>6795</v>
      </c>
      <c r="D2747" s="62" t="s">
        <v>6796</v>
      </c>
      <c r="E2747" s="63"/>
    </row>
    <row r="2748" spans="2:5" ht="33.75" customHeight="1">
      <c r="B2748" s="60">
        <v>2746</v>
      </c>
      <c r="C2748" s="61" t="s">
        <v>6797</v>
      </c>
      <c r="D2748" s="62" t="s">
        <v>6798</v>
      </c>
      <c r="E2748" s="63"/>
    </row>
    <row r="2749" spans="2:5" ht="33.75" customHeight="1">
      <c r="B2749" s="60">
        <v>2747</v>
      </c>
      <c r="C2749" s="61" t="s">
        <v>6799</v>
      </c>
      <c r="D2749" s="62" t="s">
        <v>6800</v>
      </c>
      <c r="E2749" s="63"/>
    </row>
    <row r="2750" spans="2:5" ht="33.75" customHeight="1">
      <c r="B2750" s="60">
        <v>2748</v>
      </c>
      <c r="C2750" s="61" t="s">
        <v>6801</v>
      </c>
      <c r="D2750" s="62" t="s">
        <v>6802</v>
      </c>
      <c r="E2750" s="63"/>
    </row>
    <row r="2751" spans="2:5" ht="33.75" customHeight="1">
      <c r="B2751" s="60">
        <v>2749</v>
      </c>
      <c r="C2751" s="61" t="s">
        <v>6803</v>
      </c>
      <c r="D2751" s="62" t="s">
        <v>6804</v>
      </c>
      <c r="E2751" s="63"/>
    </row>
    <row r="2752" spans="2:5" ht="33.75" customHeight="1">
      <c r="B2752" s="60">
        <v>2750</v>
      </c>
      <c r="C2752" s="61" t="s">
        <v>6805</v>
      </c>
      <c r="D2752" s="62" t="s">
        <v>6052</v>
      </c>
      <c r="E2752" s="63" t="s">
        <v>6806</v>
      </c>
    </row>
    <row r="2753" spans="2:5" ht="33.75" customHeight="1">
      <c r="B2753" s="60">
        <v>2751</v>
      </c>
      <c r="C2753" s="61" t="s">
        <v>6807</v>
      </c>
      <c r="D2753" s="62" t="s">
        <v>6808</v>
      </c>
      <c r="E2753" s="63" t="s">
        <v>6809</v>
      </c>
    </row>
    <row r="2754" spans="2:5" ht="33.75" customHeight="1">
      <c r="B2754" s="60">
        <v>2752</v>
      </c>
      <c r="C2754" s="61" t="s">
        <v>6810</v>
      </c>
      <c r="D2754" s="62" t="s">
        <v>6811</v>
      </c>
      <c r="E2754" s="63"/>
    </row>
    <row r="2755" spans="2:5" ht="33.75" customHeight="1">
      <c r="B2755" s="60">
        <v>2753</v>
      </c>
      <c r="C2755" s="61" t="s">
        <v>6812</v>
      </c>
      <c r="D2755" s="62" t="s">
        <v>6813</v>
      </c>
      <c r="E2755" s="63" t="s">
        <v>6814</v>
      </c>
    </row>
    <row r="2756" spans="2:5" ht="33.75" customHeight="1">
      <c r="B2756" s="60">
        <v>2754</v>
      </c>
      <c r="C2756" s="61" t="s">
        <v>6815</v>
      </c>
      <c r="D2756" s="62" t="s">
        <v>6816</v>
      </c>
      <c r="E2756" s="63"/>
    </row>
    <row r="2757" spans="2:5" ht="33.75" customHeight="1">
      <c r="B2757" s="60">
        <v>2755</v>
      </c>
      <c r="C2757" s="61" t="s">
        <v>6817</v>
      </c>
      <c r="D2757" s="62" t="s">
        <v>6818</v>
      </c>
      <c r="E2757" s="63"/>
    </row>
    <row r="2758" spans="2:5" ht="33.75" customHeight="1">
      <c r="B2758" s="60">
        <v>2756</v>
      </c>
      <c r="C2758" s="61" t="s">
        <v>6819</v>
      </c>
      <c r="D2758" s="62" t="s">
        <v>6820</v>
      </c>
      <c r="E2758" s="63"/>
    </row>
    <row r="2759" spans="2:5" ht="33.75" customHeight="1">
      <c r="B2759" s="60">
        <v>2757</v>
      </c>
      <c r="C2759" s="61" t="s">
        <v>6821</v>
      </c>
      <c r="D2759" s="62" t="s">
        <v>6822</v>
      </c>
      <c r="E2759" s="63" t="s">
        <v>6823</v>
      </c>
    </row>
    <row r="2760" spans="2:5" ht="33.75" customHeight="1">
      <c r="B2760" s="60">
        <v>2758</v>
      </c>
      <c r="C2760" s="61" t="s">
        <v>6824</v>
      </c>
      <c r="D2760" s="62" t="s">
        <v>6825</v>
      </c>
      <c r="E2760" s="63"/>
    </row>
    <row r="2761" spans="2:5" ht="33.75" customHeight="1">
      <c r="B2761" s="60">
        <v>2759</v>
      </c>
      <c r="C2761" s="61" t="s">
        <v>6826</v>
      </c>
      <c r="D2761" s="62" t="s">
        <v>6827</v>
      </c>
      <c r="E2761" s="63"/>
    </row>
    <row r="2762" spans="2:5" ht="33.75" customHeight="1">
      <c r="B2762" s="60">
        <v>2760</v>
      </c>
      <c r="C2762" s="61" t="s">
        <v>6828</v>
      </c>
      <c r="D2762" s="62" t="s">
        <v>6829</v>
      </c>
      <c r="E2762" s="63"/>
    </row>
    <row r="2763" spans="2:5" ht="33.75" customHeight="1">
      <c r="B2763" s="60">
        <v>2761</v>
      </c>
      <c r="C2763" s="61" t="s">
        <v>6830</v>
      </c>
      <c r="D2763" s="62" t="s">
        <v>6831</v>
      </c>
      <c r="E2763" s="63" t="s">
        <v>6832</v>
      </c>
    </row>
    <row r="2764" spans="2:5" ht="33.75" customHeight="1">
      <c r="B2764" s="60">
        <v>2762</v>
      </c>
      <c r="C2764" s="61" t="s">
        <v>6833</v>
      </c>
      <c r="D2764" s="62" t="s">
        <v>6834</v>
      </c>
      <c r="E2764" s="63"/>
    </row>
    <row r="2765" spans="2:5" ht="33.75" customHeight="1">
      <c r="B2765" s="60">
        <v>2763</v>
      </c>
      <c r="C2765" s="61" t="s">
        <v>6835</v>
      </c>
      <c r="D2765" s="62" t="s">
        <v>6836</v>
      </c>
      <c r="E2765" s="63"/>
    </row>
    <row r="2766" spans="2:5" ht="33.75" customHeight="1">
      <c r="B2766" s="60">
        <v>2764</v>
      </c>
      <c r="C2766" s="61" t="s">
        <v>6837</v>
      </c>
      <c r="D2766" s="62" t="s">
        <v>6838</v>
      </c>
      <c r="E2766" s="63"/>
    </row>
    <row r="2767" spans="2:5" ht="33.75" customHeight="1">
      <c r="B2767" s="60">
        <v>2765</v>
      </c>
      <c r="C2767" s="61" t="s">
        <v>6839</v>
      </c>
      <c r="D2767" s="62" t="s">
        <v>6840</v>
      </c>
      <c r="E2767" s="63"/>
    </row>
    <row r="2768" spans="2:5" ht="33.75" customHeight="1">
      <c r="B2768" s="60">
        <v>2766</v>
      </c>
      <c r="C2768" s="61" t="s">
        <v>6841</v>
      </c>
      <c r="D2768" s="62" t="s">
        <v>6260</v>
      </c>
      <c r="E2768" s="63" t="s">
        <v>6842</v>
      </c>
    </row>
    <row r="2769" spans="2:5" ht="33.75" customHeight="1">
      <c r="B2769" s="60">
        <v>2767</v>
      </c>
      <c r="C2769" s="61" t="s">
        <v>6843</v>
      </c>
      <c r="D2769" s="62" t="s">
        <v>6844</v>
      </c>
      <c r="E2769" s="63"/>
    </row>
    <row r="2770" spans="2:5" ht="33.75" customHeight="1">
      <c r="B2770" s="60">
        <v>2768</v>
      </c>
      <c r="C2770" s="61" t="s">
        <v>6845</v>
      </c>
      <c r="D2770" s="62" t="s">
        <v>6846</v>
      </c>
      <c r="E2770" s="63"/>
    </row>
    <row r="2771" spans="2:5" ht="33.75" customHeight="1">
      <c r="B2771" s="60">
        <v>2769</v>
      </c>
      <c r="C2771" s="61" t="s">
        <v>6847</v>
      </c>
      <c r="D2771" s="62" t="s">
        <v>6848</v>
      </c>
      <c r="E2771" s="63"/>
    </row>
    <row r="2772" spans="2:5" ht="33.75" customHeight="1">
      <c r="B2772" s="60">
        <v>2770</v>
      </c>
      <c r="C2772" s="61" t="s">
        <v>6849</v>
      </c>
      <c r="D2772" s="62" t="s">
        <v>6850</v>
      </c>
      <c r="E2772" s="63"/>
    </row>
    <row r="2773" spans="2:5" ht="33.75" customHeight="1">
      <c r="B2773" s="60">
        <v>2771</v>
      </c>
      <c r="C2773" s="61" t="s">
        <v>6851</v>
      </c>
      <c r="D2773" s="62" t="s">
        <v>6800</v>
      </c>
      <c r="E2773" s="63"/>
    </row>
    <row r="2774" spans="2:5" ht="33.75" customHeight="1">
      <c r="B2774" s="60">
        <v>2772</v>
      </c>
      <c r="C2774" s="61" t="s">
        <v>6852</v>
      </c>
      <c r="D2774" s="62" t="s">
        <v>6853</v>
      </c>
      <c r="E2774" s="63"/>
    </row>
    <row r="2775" spans="2:5" ht="33.75" customHeight="1">
      <c r="B2775" s="60">
        <v>2773</v>
      </c>
      <c r="C2775" s="61" t="s">
        <v>6854</v>
      </c>
      <c r="D2775" s="62" t="s">
        <v>6855</v>
      </c>
      <c r="E2775" s="63"/>
    </row>
    <row r="2776" spans="2:5" ht="33.75" customHeight="1">
      <c r="B2776" s="60">
        <v>2774</v>
      </c>
      <c r="C2776" s="61" t="s">
        <v>6856</v>
      </c>
      <c r="D2776" s="62" t="s">
        <v>6804</v>
      </c>
      <c r="E2776" s="63"/>
    </row>
    <row r="2777" spans="2:5" ht="33.75" customHeight="1">
      <c r="B2777" s="60">
        <v>2775</v>
      </c>
      <c r="C2777" s="61" t="s">
        <v>6857</v>
      </c>
      <c r="D2777" s="62" t="s">
        <v>6052</v>
      </c>
      <c r="E2777" s="63" t="s">
        <v>6858</v>
      </c>
    </row>
    <row r="2778" spans="2:5" ht="33.75" customHeight="1">
      <c r="B2778" s="60">
        <v>2776</v>
      </c>
      <c r="C2778" s="61" t="s">
        <v>6859</v>
      </c>
      <c r="D2778" s="62" t="s">
        <v>6860</v>
      </c>
      <c r="E2778" s="63" t="s">
        <v>6861</v>
      </c>
    </row>
    <row r="2779" spans="2:5" ht="33.75" customHeight="1">
      <c r="B2779" s="60">
        <v>2777</v>
      </c>
      <c r="C2779" s="61" t="s">
        <v>6862</v>
      </c>
      <c r="D2779" s="62" t="s">
        <v>6863</v>
      </c>
      <c r="E2779" s="63" t="s">
        <v>6864</v>
      </c>
    </row>
    <row r="2780" spans="2:5" ht="33.75" customHeight="1">
      <c r="B2780" s="60">
        <v>2778</v>
      </c>
      <c r="C2780" s="61" t="s">
        <v>6865</v>
      </c>
      <c r="D2780" s="62" t="s">
        <v>6866</v>
      </c>
      <c r="E2780" s="63"/>
    </row>
    <row r="2781" spans="2:5" ht="33.75" customHeight="1">
      <c r="B2781" s="60">
        <v>2779</v>
      </c>
      <c r="C2781" s="61" t="s">
        <v>6867</v>
      </c>
      <c r="D2781" s="62" t="s">
        <v>6868</v>
      </c>
      <c r="E2781" s="63"/>
    </row>
    <row r="2782" spans="2:5" ht="33.75" customHeight="1">
      <c r="B2782" s="60">
        <v>2780</v>
      </c>
      <c r="C2782" s="61" t="s">
        <v>6869</v>
      </c>
      <c r="D2782" s="62" t="s">
        <v>6870</v>
      </c>
      <c r="E2782" s="63"/>
    </row>
    <row r="2783" spans="2:5" ht="33.75" customHeight="1">
      <c r="B2783" s="60">
        <v>2781</v>
      </c>
      <c r="C2783" s="61" t="s">
        <v>6871</v>
      </c>
      <c r="D2783" s="62" t="s">
        <v>6872</v>
      </c>
      <c r="E2783" s="63"/>
    </row>
    <row r="2784" spans="2:5" ht="33.75" customHeight="1">
      <c r="B2784" s="60">
        <v>2782</v>
      </c>
      <c r="C2784" s="61" t="s">
        <v>6873</v>
      </c>
      <c r="D2784" s="62" t="s">
        <v>6874</v>
      </c>
      <c r="E2784" s="63"/>
    </row>
    <row r="2785" spans="2:5" ht="33.75" customHeight="1">
      <c r="B2785" s="60">
        <v>2783</v>
      </c>
      <c r="C2785" s="61" t="s">
        <v>6875</v>
      </c>
      <c r="D2785" s="62" t="s">
        <v>6876</v>
      </c>
      <c r="E2785" s="63"/>
    </row>
    <row r="2786" spans="2:5" ht="33.75" customHeight="1">
      <c r="B2786" s="60">
        <v>2784</v>
      </c>
      <c r="C2786" s="61" t="s">
        <v>6877</v>
      </c>
      <c r="D2786" s="62" t="s">
        <v>6878</v>
      </c>
      <c r="E2786" s="63"/>
    </row>
    <row r="2787" spans="2:5" ht="33.75" customHeight="1">
      <c r="B2787" s="60">
        <v>2785</v>
      </c>
      <c r="C2787" s="61" t="s">
        <v>6879</v>
      </c>
      <c r="D2787" s="62" t="s">
        <v>6880</v>
      </c>
      <c r="E2787" s="63"/>
    </row>
    <row r="2788" spans="2:5" ht="33.75" customHeight="1">
      <c r="B2788" s="60">
        <v>2786</v>
      </c>
      <c r="C2788" s="61" t="s">
        <v>6881</v>
      </c>
      <c r="D2788" s="62" t="s">
        <v>6882</v>
      </c>
      <c r="E2788" s="63"/>
    </row>
    <row r="2789" spans="2:5" ht="33.75" customHeight="1">
      <c r="B2789" s="60">
        <v>2787</v>
      </c>
      <c r="C2789" s="61" t="s">
        <v>6883</v>
      </c>
      <c r="D2789" s="62" t="s">
        <v>6884</v>
      </c>
      <c r="E2789" s="63"/>
    </row>
    <row r="2790" spans="2:5" ht="33.75" customHeight="1">
      <c r="B2790" s="60">
        <v>2788</v>
      </c>
      <c r="C2790" s="61" t="s">
        <v>6885</v>
      </c>
      <c r="D2790" s="62" t="s">
        <v>6886</v>
      </c>
      <c r="E2790" s="63"/>
    </row>
    <row r="2791" spans="2:5" ht="33.75" customHeight="1">
      <c r="B2791" s="60">
        <v>2789</v>
      </c>
      <c r="C2791" s="61" t="s">
        <v>6887</v>
      </c>
      <c r="D2791" s="62" t="s">
        <v>6800</v>
      </c>
      <c r="E2791" s="63"/>
    </row>
    <row r="2792" spans="2:5" ht="33.75" customHeight="1">
      <c r="B2792" s="60">
        <v>2790</v>
      </c>
      <c r="C2792" s="61" t="s">
        <v>6888</v>
      </c>
      <c r="D2792" s="62" t="s">
        <v>6889</v>
      </c>
      <c r="E2792" s="63"/>
    </row>
    <row r="2793" spans="2:5" ht="33.75" customHeight="1">
      <c r="B2793" s="60">
        <v>2791</v>
      </c>
      <c r="C2793" s="61" t="s">
        <v>6890</v>
      </c>
      <c r="D2793" s="62" t="s">
        <v>6891</v>
      </c>
      <c r="E2793" s="63" t="s">
        <v>6892</v>
      </c>
    </row>
    <row r="2794" spans="2:5" ht="33.75" customHeight="1">
      <c r="B2794" s="60">
        <v>2792</v>
      </c>
      <c r="C2794" s="61" t="s">
        <v>6893</v>
      </c>
      <c r="D2794" s="62" t="s">
        <v>6894</v>
      </c>
      <c r="E2794" s="63"/>
    </row>
    <row r="2795" spans="2:5" ht="33.75" customHeight="1">
      <c r="B2795" s="60">
        <v>2793</v>
      </c>
      <c r="C2795" s="61" t="s">
        <v>6895</v>
      </c>
      <c r="D2795" s="62" t="s">
        <v>6896</v>
      </c>
      <c r="E2795" s="63"/>
    </row>
    <row r="2796" spans="2:5" ht="33.75" customHeight="1">
      <c r="B2796" s="60">
        <v>2794</v>
      </c>
      <c r="C2796" s="61" t="s">
        <v>6897</v>
      </c>
      <c r="D2796" s="62" t="s">
        <v>6052</v>
      </c>
      <c r="E2796" s="63" t="s">
        <v>6898</v>
      </c>
    </row>
    <row r="2797" spans="2:5" ht="33.75" customHeight="1">
      <c r="B2797" s="60">
        <v>2795</v>
      </c>
      <c r="C2797" s="61" t="s">
        <v>6899</v>
      </c>
      <c r="D2797" s="62" t="s">
        <v>6900</v>
      </c>
      <c r="E2797" s="63"/>
    </row>
    <row r="2798" spans="2:5" ht="33.75" customHeight="1">
      <c r="B2798" s="60">
        <v>2796</v>
      </c>
      <c r="C2798" s="61" t="s">
        <v>6901</v>
      </c>
      <c r="D2798" s="62" t="s">
        <v>6902</v>
      </c>
      <c r="E2798" s="63"/>
    </row>
    <row r="2799" spans="2:5" ht="33.75" customHeight="1">
      <c r="B2799" s="60">
        <v>2797</v>
      </c>
      <c r="C2799" s="61" t="s">
        <v>6903</v>
      </c>
      <c r="D2799" s="62" t="s">
        <v>6904</v>
      </c>
      <c r="E2799" s="63"/>
    </row>
    <row r="2800" spans="2:5" ht="33.75" customHeight="1">
      <c r="B2800" s="60">
        <v>2798</v>
      </c>
      <c r="C2800" s="61" t="s">
        <v>6905</v>
      </c>
      <c r="D2800" s="62" t="s">
        <v>6200</v>
      </c>
      <c r="E2800" s="63"/>
    </row>
    <row r="2801" spans="2:5" ht="33.75" customHeight="1">
      <c r="B2801" s="60">
        <v>2799</v>
      </c>
      <c r="C2801" s="61" t="s">
        <v>6906</v>
      </c>
      <c r="D2801" s="62" t="s">
        <v>6907</v>
      </c>
      <c r="E2801" s="63"/>
    </row>
    <row r="2802" spans="2:5" ht="33.75" customHeight="1">
      <c r="B2802" s="60">
        <v>2800</v>
      </c>
      <c r="C2802" s="61" t="s">
        <v>6908</v>
      </c>
      <c r="D2802" s="62" t="s">
        <v>6909</v>
      </c>
      <c r="E2802" s="63" t="s">
        <v>6062</v>
      </c>
    </row>
    <row r="2803" spans="2:5" ht="33.75" customHeight="1">
      <c r="B2803" s="60">
        <v>2801</v>
      </c>
      <c r="C2803" s="61" t="s">
        <v>6910</v>
      </c>
      <c r="D2803" s="62" t="s">
        <v>6911</v>
      </c>
      <c r="E2803" s="63"/>
    </row>
    <row r="2804" spans="2:5" ht="33.75" customHeight="1">
      <c r="B2804" s="60">
        <v>2802</v>
      </c>
      <c r="C2804" s="61" t="s">
        <v>6912</v>
      </c>
      <c r="D2804" s="62" t="s">
        <v>6913</v>
      </c>
      <c r="E2804" s="63"/>
    </row>
    <row r="2805" spans="2:5" ht="33.75" customHeight="1">
      <c r="B2805" s="60">
        <v>2803</v>
      </c>
      <c r="C2805" s="61" t="s">
        <v>6914</v>
      </c>
      <c r="D2805" s="62" t="s">
        <v>6915</v>
      </c>
      <c r="E2805" s="63"/>
    </row>
    <row r="2806" spans="2:5" ht="33.75" customHeight="1">
      <c r="B2806" s="60">
        <v>2804</v>
      </c>
      <c r="C2806" s="61" t="s">
        <v>6916</v>
      </c>
      <c r="D2806" s="62" t="s">
        <v>6917</v>
      </c>
      <c r="E2806" s="63"/>
    </row>
    <row r="2807" spans="2:5" ht="33.75" customHeight="1">
      <c r="B2807" s="60">
        <v>2805</v>
      </c>
      <c r="C2807" s="61" t="s">
        <v>6918</v>
      </c>
      <c r="D2807" s="62" t="s">
        <v>6068</v>
      </c>
      <c r="E2807" s="63" t="s">
        <v>6069</v>
      </c>
    </row>
    <row r="2808" spans="2:5" ht="33.75" customHeight="1">
      <c r="B2808" s="60">
        <v>2806</v>
      </c>
      <c r="C2808" s="61" t="s">
        <v>6919</v>
      </c>
      <c r="D2808" s="62" t="s">
        <v>6920</v>
      </c>
      <c r="E2808" s="63" t="s">
        <v>6921</v>
      </c>
    </row>
    <row r="2809" spans="2:5" ht="33.75" customHeight="1">
      <c r="B2809" s="60">
        <v>2807</v>
      </c>
      <c r="C2809" s="61" t="s">
        <v>6922</v>
      </c>
      <c r="D2809" s="62" t="s">
        <v>6923</v>
      </c>
      <c r="E2809" s="63"/>
    </row>
    <row r="2810" spans="2:5" ht="33.75" customHeight="1">
      <c r="B2810" s="60">
        <v>2808</v>
      </c>
      <c r="C2810" s="61" t="s">
        <v>6924</v>
      </c>
      <c r="D2810" s="62" t="s">
        <v>6925</v>
      </c>
      <c r="E2810" s="63" t="s">
        <v>6077</v>
      </c>
    </row>
    <row r="2811" spans="2:5" ht="33.75" customHeight="1">
      <c r="B2811" s="60">
        <v>2809</v>
      </c>
      <c r="C2811" s="61" t="s">
        <v>6926</v>
      </c>
      <c r="D2811" s="62" t="s">
        <v>6927</v>
      </c>
      <c r="E2811" s="63"/>
    </row>
    <row r="2812" spans="2:5" ht="33.75" customHeight="1">
      <c r="B2812" s="60">
        <v>2810</v>
      </c>
      <c r="C2812" s="61" t="s">
        <v>6928</v>
      </c>
      <c r="D2812" s="62" t="s">
        <v>6221</v>
      </c>
      <c r="E2812" s="63"/>
    </row>
    <row r="2813" spans="2:5" ht="33.75" customHeight="1">
      <c r="B2813" s="60">
        <v>2811</v>
      </c>
      <c r="C2813" s="61" t="s">
        <v>6929</v>
      </c>
      <c r="D2813" s="62" t="s">
        <v>6794</v>
      </c>
      <c r="E2813" s="63"/>
    </row>
    <row r="2814" spans="2:5" ht="33.75" customHeight="1">
      <c r="B2814" s="60">
        <v>2812</v>
      </c>
      <c r="C2814" s="61" t="s">
        <v>6930</v>
      </c>
      <c r="D2814" s="62" t="s">
        <v>6931</v>
      </c>
      <c r="E2814" s="63"/>
    </row>
    <row r="2815" spans="2:5" ht="33.75" customHeight="1">
      <c r="B2815" s="60">
        <v>2813</v>
      </c>
      <c r="C2815" s="61" t="s">
        <v>6932</v>
      </c>
      <c r="D2815" s="62" t="s">
        <v>6084</v>
      </c>
      <c r="E2815" s="63"/>
    </row>
    <row r="2816" spans="2:5" ht="33.75" customHeight="1">
      <c r="B2816" s="60">
        <v>2814</v>
      </c>
      <c r="C2816" s="61" t="s">
        <v>6933</v>
      </c>
      <c r="D2816" s="62" t="s">
        <v>6086</v>
      </c>
      <c r="E2816" s="63" t="s">
        <v>6087</v>
      </c>
    </row>
    <row r="2817" spans="2:5" ht="33.75" customHeight="1">
      <c r="B2817" s="60">
        <v>2815</v>
      </c>
      <c r="C2817" s="61" t="s">
        <v>6934</v>
      </c>
      <c r="D2817" s="62" t="s">
        <v>6935</v>
      </c>
      <c r="E2817" s="63"/>
    </row>
    <row r="2818" spans="2:5" ht="33.75" customHeight="1">
      <c r="B2818" s="60">
        <v>2816</v>
      </c>
      <c r="C2818" s="61" t="s">
        <v>6936</v>
      </c>
      <c r="D2818" s="62" t="s">
        <v>6937</v>
      </c>
      <c r="E2818" s="63"/>
    </row>
    <row r="2819" spans="2:5" ht="33.75" customHeight="1">
      <c r="B2819" s="60">
        <v>2817</v>
      </c>
      <c r="C2819" s="61" t="s">
        <v>6938</v>
      </c>
      <c r="D2819" s="62" t="s">
        <v>6939</v>
      </c>
      <c r="E2819" s="63" t="s">
        <v>6940</v>
      </c>
    </row>
    <row r="2820" spans="2:5" ht="33.75" customHeight="1">
      <c r="B2820" s="60">
        <v>2818</v>
      </c>
      <c r="C2820" s="61" t="s">
        <v>6941</v>
      </c>
      <c r="D2820" s="62" t="s">
        <v>6459</v>
      </c>
      <c r="E2820" s="63"/>
    </row>
    <row r="2821" spans="2:5" ht="33.75" customHeight="1">
      <c r="B2821" s="60">
        <v>2819</v>
      </c>
      <c r="C2821" s="61" t="s">
        <v>6942</v>
      </c>
      <c r="D2821" s="62" t="s">
        <v>6943</v>
      </c>
      <c r="E2821" s="63"/>
    </row>
    <row r="2822" spans="2:5" ht="33.75" customHeight="1">
      <c r="B2822" s="60">
        <v>2820</v>
      </c>
      <c r="C2822" s="61" t="s">
        <v>6944</v>
      </c>
      <c r="D2822" s="62" t="s">
        <v>6945</v>
      </c>
      <c r="E2822" s="63"/>
    </row>
    <row r="2823" spans="2:5" ht="33.75" customHeight="1">
      <c r="B2823" s="60">
        <v>2821</v>
      </c>
      <c r="C2823" s="61" t="s">
        <v>6946</v>
      </c>
      <c r="D2823" s="62" t="s">
        <v>6947</v>
      </c>
      <c r="E2823" s="63" t="s">
        <v>6062</v>
      </c>
    </row>
    <row r="2824" spans="2:5" ht="33.75" customHeight="1">
      <c r="B2824" s="60">
        <v>2822</v>
      </c>
      <c r="C2824" s="61" t="s">
        <v>6948</v>
      </c>
      <c r="D2824" s="62" t="s">
        <v>6949</v>
      </c>
      <c r="E2824" s="63"/>
    </row>
    <row r="2825" spans="2:5" ht="33.75" customHeight="1">
      <c r="B2825" s="60">
        <v>2823</v>
      </c>
      <c r="C2825" s="61" t="s">
        <v>6950</v>
      </c>
      <c r="D2825" s="62" t="s">
        <v>6951</v>
      </c>
      <c r="E2825" s="63"/>
    </row>
    <row r="2826" spans="2:5" ht="33.75" customHeight="1">
      <c r="B2826" s="60">
        <v>2824</v>
      </c>
      <c r="C2826" s="61" t="s">
        <v>6952</v>
      </c>
      <c r="D2826" s="62" t="s">
        <v>6915</v>
      </c>
      <c r="E2826" s="63"/>
    </row>
    <row r="2827" spans="2:5" ht="33.75" customHeight="1">
      <c r="B2827" s="60">
        <v>2825</v>
      </c>
      <c r="C2827" s="61" t="s">
        <v>6953</v>
      </c>
      <c r="D2827" s="62" t="s">
        <v>6068</v>
      </c>
      <c r="E2827" s="63" t="s">
        <v>6069</v>
      </c>
    </row>
    <row r="2828" spans="2:5" ht="33.75" customHeight="1">
      <c r="B2828" s="60">
        <v>2826</v>
      </c>
      <c r="C2828" s="61" t="s">
        <v>6954</v>
      </c>
      <c r="D2828" s="62" t="s">
        <v>6955</v>
      </c>
      <c r="E2828" s="63" t="s">
        <v>6956</v>
      </c>
    </row>
    <row r="2829" spans="2:5" ht="33.75" customHeight="1">
      <c r="B2829" s="60">
        <v>2827</v>
      </c>
      <c r="C2829" s="61" t="s">
        <v>6957</v>
      </c>
      <c r="D2829" s="62" t="s">
        <v>6958</v>
      </c>
      <c r="E2829" s="63"/>
    </row>
    <row r="2830" spans="2:5" ht="33.75" customHeight="1">
      <c r="B2830" s="60">
        <v>2828</v>
      </c>
      <c r="C2830" s="61" t="s">
        <v>6959</v>
      </c>
      <c r="D2830" s="62" t="s">
        <v>6960</v>
      </c>
      <c r="E2830" s="63" t="s">
        <v>6961</v>
      </c>
    </row>
    <row r="2831" spans="2:5" ht="33.75" customHeight="1">
      <c r="B2831" s="60">
        <v>2829</v>
      </c>
      <c r="C2831" s="61" t="s">
        <v>6962</v>
      </c>
      <c r="D2831" s="62" t="s">
        <v>6963</v>
      </c>
      <c r="E2831" s="63" t="s">
        <v>6964</v>
      </c>
    </row>
    <row r="2832" spans="2:5" ht="33.75" customHeight="1">
      <c r="B2832" s="60">
        <v>2830</v>
      </c>
      <c r="C2832" s="61" t="s">
        <v>6965</v>
      </c>
      <c r="D2832" s="62" t="s">
        <v>6146</v>
      </c>
      <c r="E2832" s="63"/>
    </row>
    <row r="2833" spans="2:5" ht="33.75" customHeight="1">
      <c r="B2833" s="60">
        <v>2831</v>
      </c>
      <c r="C2833" s="61" t="s">
        <v>6966</v>
      </c>
      <c r="D2833" s="62" t="s">
        <v>6967</v>
      </c>
      <c r="E2833" s="63"/>
    </row>
    <row r="2834" spans="2:5" ht="33.75" customHeight="1">
      <c r="B2834" s="60">
        <v>2832</v>
      </c>
      <c r="C2834" s="61" t="s">
        <v>6968</v>
      </c>
      <c r="D2834" s="62" t="s">
        <v>6931</v>
      </c>
      <c r="E2834" s="63"/>
    </row>
    <row r="2835" spans="2:5" ht="33.75" customHeight="1">
      <c r="B2835" s="60">
        <v>2833</v>
      </c>
      <c r="C2835" s="61" t="s">
        <v>6969</v>
      </c>
      <c r="D2835" s="62" t="s">
        <v>6084</v>
      </c>
      <c r="E2835" s="63"/>
    </row>
    <row r="2836" spans="2:5" ht="33.75" customHeight="1">
      <c r="B2836" s="60">
        <v>2834</v>
      </c>
      <c r="C2836" s="61" t="s">
        <v>6970</v>
      </c>
      <c r="D2836" s="62" t="s">
        <v>6086</v>
      </c>
      <c r="E2836" s="63" t="s">
        <v>6087</v>
      </c>
    </row>
    <row r="2837" spans="2:5" ht="33.75" customHeight="1">
      <c r="B2837" s="60">
        <v>2835</v>
      </c>
      <c r="C2837" s="61" t="s">
        <v>6971</v>
      </c>
      <c r="D2837" s="62" t="s">
        <v>6972</v>
      </c>
      <c r="E2837" s="63"/>
    </row>
    <row r="2838" spans="2:5" ht="33.75" customHeight="1">
      <c r="B2838" s="60">
        <v>2836</v>
      </c>
      <c r="C2838" s="61" t="s">
        <v>6973</v>
      </c>
      <c r="D2838" s="62" t="s">
        <v>6974</v>
      </c>
      <c r="E2838" s="63"/>
    </row>
    <row r="2839" spans="2:5" ht="33.75" customHeight="1">
      <c r="B2839" s="60">
        <v>2837</v>
      </c>
      <c r="C2839" s="61" t="s">
        <v>6975</v>
      </c>
      <c r="D2839" s="62" t="s">
        <v>6939</v>
      </c>
      <c r="E2839" s="63" t="s">
        <v>6976</v>
      </c>
    </row>
    <row r="2840" spans="2:5" ht="33.75" customHeight="1">
      <c r="B2840" s="60">
        <v>2838</v>
      </c>
      <c r="C2840" s="61" t="s">
        <v>6977</v>
      </c>
      <c r="D2840" s="62" t="s">
        <v>6949</v>
      </c>
      <c r="E2840" s="63" t="s">
        <v>6978</v>
      </c>
    </row>
    <row r="2841" spans="2:5" ht="33.75" customHeight="1">
      <c r="B2841" s="60">
        <v>2839</v>
      </c>
      <c r="C2841" s="61" t="s">
        <v>6979</v>
      </c>
      <c r="D2841" s="62" t="s">
        <v>6980</v>
      </c>
      <c r="E2841" s="63"/>
    </row>
    <row r="2842" spans="2:5" ht="33.75" customHeight="1">
      <c r="B2842" s="60">
        <v>2840</v>
      </c>
      <c r="C2842" s="61" t="s">
        <v>6981</v>
      </c>
      <c r="D2842" s="62" t="s">
        <v>6982</v>
      </c>
      <c r="E2842" s="63"/>
    </row>
    <row r="2843" spans="2:5" ht="33.75" customHeight="1">
      <c r="B2843" s="60">
        <v>2841</v>
      </c>
      <c r="C2843" s="61" t="s">
        <v>6983</v>
      </c>
      <c r="D2843" s="62" t="s">
        <v>6984</v>
      </c>
      <c r="E2843" s="63" t="s">
        <v>6985</v>
      </c>
    </row>
    <row r="2844" spans="2:5" ht="33.75" customHeight="1">
      <c r="B2844" s="60">
        <v>2842</v>
      </c>
      <c r="C2844" s="61" t="s">
        <v>6986</v>
      </c>
      <c r="D2844" s="62" t="s">
        <v>6987</v>
      </c>
      <c r="E2844" s="63"/>
    </row>
    <row r="2845" spans="2:5" ht="33.75" customHeight="1">
      <c r="B2845" s="60">
        <v>2843</v>
      </c>
      <c r="C2845" s="61" t="s">
        <v>6988</v>
      </c>
      <c r="D2845" s="62" t="s">
        <v>6989</v>
      </c>
      <c r="E2845" s="63"/>
    </row>
    <row r="2846" spans="2:5" ht="33.75" customHeight="1">
      <c r="B2846" s="60">
        <v>2844</v>
      </c>
      <c r="C2846" s="61" t="s">
        <v>6990</v>
      </c>
      <c r="D2846" s="62" t="s">
        <v>6991</v>
      </c>
      <c r="E2846" s="63" t="s">
        <v>6992</v>
      </c>
    </row>
    <row r="2847" spans="2:5" ht="33.75" customHeight="1">
      <c r="B2847" s="60">
        <v>2845</v>
      </c>
      <c r="C2847" s="61" t="s">
        <v>6993</v>
      </c>
      <c r="D2847" s="62" t="s">
        <v>6994</v>
      </c>
      <c r="E2847" s="63"/>
    </row>
    <row r="2848" spans="2:5" ht="33.75" customHeight="1">
      <c r="B2848" s="60">
        <v>2846</v>
      </c>
      <c r="C2848" s="61" t="s">
        <v>6995</v>
      </c>
      <c r="D2848" s="62" t="s">
        <v>6996</v>
      </c>
      <c r="E2848" s="63"/>
    </row>
    <row r="2849" spans="2:5" ht="33.75" customHeight="1">
      <c r="B2849" s="60">
        <v>2847</v>
      </c>
      <c r="C2849" s="61" t="s">
        <v>6997</v>
      </c>
      <c r="D2849" s="62" t="s">
        <v>6998</v>
      </c>
      <c r="E2849" s="63" t="s">
        <v>6999</v>
      </c>
    </row>
    <row r="2850" spans="2:5" ht="33.75" customHeight="1">
      <c r="B2850" s="60">
        <v>2848</v>
      </c>
      <c r="C2850" s="61" t="s">
        <v>7000</v>
      </c>
      <c r="D2850" s="62" t="s">
        <v>6084</v>
      </c>
      <c r="E2850" s="63"/>
    </row>
    <row r="2851" spans="2:5" ht="33.75" customHeight="1">
      <c r="B2851" s="60">
        <v>2849</v>
      </c>
      <c r="C2851" s="61" t="s">
        <v>7001</v>
      </c>
      <c r="D2851" s="62" t="s">
        <v>6086</v>
      </c>
      <c r="E2851" s="63" t="s">
        <v>6087</v>
      </c>
    </row>
    <row r="2852" spans="2:5" ht="33.75" customHeight="1">
      <c r="B2852" s="60">
        <v>2850</v>
      </c>
      <c r="C2852" s="61" t="s">
        <v>7002</v>
      </c>
      <c r="D2852" s="62" t="s">
        <v>7003</v>
      </c>
      <c r="E2852" s="63"/>
    </row>
    <row r="2853" spans="2:5" ht="33.75" customHeight="1">
      <c r="B2853" s="60">
        <v>2851</v>
      </c>
      <c r="C2853" s="61" t="s">
        <v>7004</v>
      </c>
      <c r="D2853" s="62" t="s">
        <v>7005</v>
      </c>
      <c r="E2853" s="63" t="s">
        <v>7006</v>
      </c>
    </row>
    <row r="2854" spans="2:5" ht="33.75" customHeight="1">
      <c r="B2854" s="60">
        <v>2852</v>
      </c>
      <c r="C2854" s="61" t="s">
        <v>7007</v>
      </c>
      <c r="D2854" s="62" t="s">
        <v>7008</v>
      </c>
      <c r="E2854" s="63" t="s">
        <v>7009</v>
      </c>
    </row>
    <row r="2855" spans="2:5" ht="33.75" customHeight="1">
      <c r="B2855" s="60">
        <v>2853</v>
      </c>
      <c r="C2855" s="61" t="s">
        <v>7010</v>
      </c>
      <c r="D2855" s="62" t="s">
        <v>6939</v>
      </c>
      <c r="E2855" s="63" t="s">
        <v>7011</v>
      </c>
    </row>
    <row r="2856" spans="2:5" ht="33.75" customHeight="1">
      <c r="B2856" s="60">
        <v>2854</v>
      </c>
      <c r="C2856" s="61" t="s">
        <v>7012</v>
      </c>
      <c r="D2856" s="62" t="s">
        <v>7013</v>
      </c>
      <c r="E2856" s="63"/>
    </row>
    <row r="2857" spans="2:5" ht="33.75" customHeight="1">
      <c r="B2857" s="60">
        <v>2855</v>
      </c>
      <c r="C2857" s="61" t="s">
        <v>7014</v>
      </c>
      <c r="D2857" s="62" t="s">
        <v>7015</v>
      </c>
      <c r="E2857" s="63"/>
    </row>
    <row r="2858" spans="2:5" ht="33.75" customHeight="1">
      <c r="B2858" s="60">
        <v>2856</v>
      </c>
      <c r="C2858" s="61" t="s">
        <v>7016</v>
      </c>
      <c r="D2858" s="62" t="s">
        <v>7017</v>
      </c>
      <c r="E2858" s="63" t="s">
        <v>7018</v>
      </c>
    </row>
    <row r="2859" spans="2:5" ht="33.75" customHeight="1">
      <c r="B2859" s="60">
        <v>2857</v>
      </c>
      <c r="C2859" s="61" t="s">
        <v>7019</v>
      </c>
      <c r="D2859" s="62" t="s">
        <v>7020</v>
      </c>
      <c r="E2859" s="63" t="s">
        <v>7021</v>
      </c>
    </row>
    <row r="2860" spans="2:5" ht="33.75" customHeight="1">
      <c r="B2860" s="60">
        <v>2858</v>
      </c>
      <c r="C2860" s="61" t="s">
        <v>7022</v>
      </c>
      <c r="D2860" s="62" t="s">
        <v>7023</v>
      </c>
      <c r="E2860" s="63"/>
    </row>
    <row r="2861" spans="2:5" ht="33.75" customHeight="1">
      <c r="B2861" s="60">
        <v>2859</v>
      </c>
      <c r="C2861" s="61" t="s">
        <v>7024</v>
      </c>
      <c r="D2861" s="62" t="s">
        <v>7025</v>
      </c>
      <c r="E2861" s="63"/>
    </row>
    <row r="2862" spans="2:5" ht="33.75" customHeight="1">
      <c r="B2862" s="60">
        <v>2860</v>
      </c>
      <c r="C2862" s="61" t="s">
        <v>7026</v>
      </c>
      <c r="D2862" s="62" t="s">
        <v>7027</v>
      </c>
      <c r="E2862" s="63" t="s">
        <v>7028</v>
      </c>
    </row>
    <row r="2863" spans="2:5" ht="33.75" customHeight="1">
      <c r="B2863" s="60">
        <v>2861</v>
      </c>
      <c r="C2863" s="61" t="s">
        <v>7029</v>
      </c>
      <c r="D2863" s="62" t="s">
        <v>7030</v>
      </c>
      <c r="E2863" s="63" t="s">
        <v>7031</v>
      </c>
    </row>
    <row r="2864" spans="2:5" ht="33.75" customHeight="1">
      <c r="B2864" s="60">
        <v>2862</v>
      </c>
      <c r="C2864" s="61" t="s">
        <v>7032</v>
      </c>
      <c r="D2864" s="62" t="s">
        <v>7033</v>
      </c>
      <c r="E2864" s="63" t="s">
        <v>7034</v>
      </c>
    </row>
    <row r="2865" spans="2:5" ht="33.75" customHeight="1">
      <c r="B2865" s="60">
        <v>2863</v>
      </c>
      <c r="C2865" s="61" t="s">
        <v>7035</v>
      </c>
      <c r="D2865" s="62" t="s">
        <v>7036</v>
      </c>
      <c r="E2865" s="63"/>
    </row>
    <row r="2866" spans="2:5" ht="33.75" customHeight="1">
      <c r="B2866" s="60">
        <v>2864</v>
      </c>
      <c r="C2866" s="61" t="s">
        <v>7037</v>
      </c>
      <c r="D2866" s="62" t="s">
        <v>7038</v>
      </c>
      <c r="E2866" s="63"/>
    </row>
    <row r="2867" spans="2:5" ht="33.75" customHeight="1">
      <c r="B2867" s="60">
        <v>2865</v>
      </c>
      <c r="C2867" s="61" t="s">
        <v>7039</v>
      </c>
      <c r="D2867" s="62" t="s">
        <v>7040</v>
      </c>
      <c r="E2867" s="63" t="s">
        <v>7041</v>
      </c>
    </row>
    <row r="2868" spans="2:5" ht="33.75" customHeight="1">
      <c r="B2868" s="60">
        <v>2866</v>
      </c>
      <c r="C2868" s="61" t="s">
        <v>7042</v>
      </c>
      <c r="D2868" s="62" t="s">
        <v>7043</v>
      </c>
      <c r="E2868" s="63"/>
    </row>
    <row r="2869" spans="2:5" ht="33.75" customHeight="1">
      <c r="B2869" s="60">
        <v>2867</v>
      </c>
      <c r="C2869" s="61" t="s">
        <v>7044</v>
      </c>
      <c r="D2869" s="62" t="s">
        <v>7015</v>
      </c>
      <c r="E2869" s="63"/>
    </row>
    <row r="2870" spans="2:5" ht="33.75" customHeight="1">
      <c r="B2870" s="60">
        <v>2868</v>
      </c>
      <c r="C2870" s="61" t="s">
        <v>7045</v>
      </c>
      <c r="D2870" s="62" t="s">
        <v>7017</v>
      </c>
      <c r="E2870" s="63"/>
    </row>
    <row r="2871" spans="2:5" ht="33.75" customHeight="1">
      <c r="B2871" s="60">
        <v>2869</v>
      </c>
      <c r="C2871" s="61" t="s">
        <v>7046</v>
      </c>
      <c r="D2871" s="62" t="s">
        <v>7020</v>
      </c>
      <c r="E2871" s="63"/>
    </row>
    <row r="2872" spans="2:5" ht="33.75" customHeight="1">
      <c r="B2872" s="60">
        <v>2870</v>
      </c>
      <c r="C2872" s="61" t="s">
        <v>7047</v>
      </c>
      <c r="D2872" s="62" t="s">
        <v>7048</v>
      </c>
      <c r="E2872" s="63" t="s">
        <v>7049</v>
      </c>
    </row>
    <row r="2873" spans="2:5" ht="33.75" customHeight="1">
      <c r="B2873" s="60">
        <v>2871</v>
      </c>
      <c r="C2873" s="61" t="s">
        <v>7050</v>
      </c>
      <c r="D2873" s="62" t="s">
        <v>7023</v>
      </c>
      <c r="E2873" s="63"/>
    </row>
    <row r="2874" spans="2:5" ht="33.75" customHeight="1">
      <c r="B2874" s="60">
        <v>2872</v>
      </c>
      <c r="C2874" s="61" t="s">
        <v>7051</v>
      </c>
      <c r="D2874" s="62" t="s">
        <v>7025</v>
      </c>
      <c r="E2874" s="63"/>
    </row>
    <row r="2875" spans="2:5" ht="33.75" customHeight="1">
      <c r="B2875" s="60">
        <v>2873</v>
      </c>
      <c r="C2875" s="61" t="s">
        <v>7052</v>
      </c>
      <c r="D2875" s="62" t="s">
        <v>7053</v>
      </c>
      <c r="E2875" s="63" t="s">
        <v>7054</v>
      </c>
    </row>
    <row r="2876" spans="2:5" ht="33.75" customHeight="1">
      <c r="B2876" s="60">
        <v>2874</v>
      </c>
      <c r="C2876" s="61" t="s">
        <v>7055</v>
      </c>
      <c r="D2876" s="62" t="s">
        <v>7027</v>
      </c>
      <c r="E2876" s="63"/>
    </row>
    <row r="2877" spans="2:5" ht="33.75" customHeight="1">
      <c r="B2877" s="60">
        <v>2875</v>
      </c>
      <c r="C2877" s="61" t="s">
        <v>7056</v>
      </c>
      <c r="D2877" s="62" t="s">
        <v>7057</v>
      </c>
      <c r="E2877" s="63" t="s">
        <v>7058</v>
      </c>
    </row>
    <row r="2878" spans="2:5" ht="33.75" customHeight="1">
      <c r="B2878" s="60">
        <v>2876</v>
      </c>
      <c r="C2878" s="61" t="s">
        <v>7059</v>
      </c>
      <c r="D2878" s="62" t="s">
        <v>7033</v>
      </c>
      <c r="E2878" s="63"/>
    </row>
    <row r="2879" spans="2:5" ht="33.75" customHeight="1">
      <c r="B2879" s="60">
        <v>2877</v>
      </c>
      <c r="C2879" s="61" t="s">
        <v>7060</v>
      </c>
      <c r="D2879" s="62" t="s">
        <v>7061</v>
      </c>
      <c r="E2879" s="63" t="s">
        <v>7062</v>
      </c>
    </row>
    <row r="2880" spans="2:5" ht="33.75" customHeight="1">
      <c r="B2880" s="60">
        <v>2878</v>
      </c>
      <c r="C2880" s="61" t="s">
        <v>7063</v>
      </c>
      <c r="D2880" s="62" t="s">
        <v>7064</v>
      </c>
      <c r="E2880" s="63" t="s">
        <v>7065</v>
      </c>
    </row>
    <row r="2881" spans="2:5" ht="33.75" customHeight="1">
      <c r="B2881" s="60">
        <v>2879</v>
      </c>
      <c r="C2881" s="61" t="s">
        <v>7066</v>
      </c>
      <c r="D2881" s="62" t="s">
        <v>7040</v>
      </c>
      <c r="E2881" s="63"/>
    </row>
    <row r="2882" spans="2:5" ht="33.75" customHeight="1">
      <c r="B2882" s="60">
        <v>2880</v>
      </c>
      <c r="C2882" s="61" t="s">
        <v>7067</v>
      </c>
      <c r="D2882" s="62" t="s">
        <v>7068</v>
      </c>
      <c r="E2882" s="63"/>
    </row>
    <row r="2883" spans="2:5" ht="33.75" customHeight="1">
      <c r="B2883" s="60">
        <v>2881</v>
      </c>
      <c r="C2883" s="61" t="s">
        <v>7069</v>
      </c>
      <c r="D2883" s="62" t="s">
        <v>7070</v>
      </c>
      <c r="E2883" s="63"/>
    </row>
    <row r="2884" spans="2:5" ht="33.75" customHeight="1">
      <c r="B2884" s="60">
        <v>2882</v>
      </c>
      <c r="C2884" s="61" t="s">
        <v>7071</v>
      </c>
      <c r="D2884" s="62" t="s">
        <v>7072</v>
      </c>
      <c r="E2884" s="63"/>
    </row>
    <row r="2885" spans="2:5" ht="33.75" customHeight="1">
      <c r="B2885" s="60">
        <v>2883</v>
      </c>
      <c r="C2885" s="61" t="s">
        <v>7073</v>
      </c>
      <c r="D2885" s="62" t="s">
        <v>7074</v>
      </c>
      <c r="E2885" s="63" t="s">
        <v>7075</v>
      </c>
    </row>
    <row r="2886" spans="2:5" ht="33.75" customHeight="1">
      <c r="B2886" s="60">
        <v>2884</v>
      </c>
      <c r="C2886" s="61" t="s">
        <v>7076</v>
      </c>
      <c r="D2886" s="62" t="s">
        <v>7077</v>
      </c>
      <c r="E2886" s="63" t="s">
        <v>7078</v>
      </c>
    </row>
    <row r="2887" spans="2:5" ht="33.75" customHeight="1">
      <c r="B2887" s="60">
        <v>2885</v>
      </c>
      <c r="C2887" s="61" t="s">
        <v>7079</v>
      </c>
      <c r="D2887" s="62" t="s">
        <v>7080</v>
      </c>
      <c r="E2887" s="63" t="s">
        <v>7081</v>
      </c>
    </row>
    <row r="2888" spans="2:5" ht="33.75" customHeight="1">
      <c r="B2888" s="60">
        <v>2886</v>
      </c>
      <c r="C2888" s="61" t="s">
        <v>7082</v>
      </c>
      <c r="D2888" s="62" t="s">
        <v>7083</v>
      </c>
      <c r="E2888" s="63" t="s">
        <v>7084</v>
      </c>
    </row>
    <row r="2889" spans="2:5" ht="33.75" customHeight="1">
      <c r="B2889" s="60">
        <v>2887</v>
      </c>
      <c r="C2889" s="61" t="s">
        <v>7085</v>
      </c>
      <c r="D2889" s="62" t="s">
        <v>7086</v>
      </c>
      <c r="E2889" s="63" t="s">
        <v>7087</v>
      </c>
    </row>
    <row r="2890" spans="2:5" ht="33.75" customHeight="1">
      <c r="B2890" s="60">
        <v>2888</v>
      </c>
      <c r="C2890" s="61" t="s">
        <v>7088</v>
      </c>
      <c r="D2890" s="62" t="s">
        <v>7089</v>
      </c>
      <c r="E2890" s="63" t="s">
        <v>7090</v>
      </c>
    </row>
    <row r="2891" spans="2:5" ht="33.75" customHeight="1">
      <c r="B2891" s="60">
        <v>2889</v>
      </c>
      <c r="C2891" s="61" t="s">
        <v>7091</v>
      </c>
      <c r="D2891" s="62" t="s">
        <v>7092</v>
      </c>
      <c r="E2891" s="63" t="s">
        <v>7093</v>
      </c>
    </row>
    <row r="2892" spans="2:5" ht="33.75" customHeight="1">
      <c r="B2892" s="60">
        <v>2890</v>
      </c>
      <c r="C2892" s="61" t="s">
        <v>7094</v>
      </c>
      <c r="D2892" s="62" t="s">
        <v>7095</v>
      </c>
      <c r="E2892" s="63"/>
    </row>
    <row r="2893" spans="2:5" ht="33.75" customHeight="1">
      <c r="B2893" s="60">
        <v>2891</v>
      </c>
      <c r="C2893" s="61" t="s">
        <v>7096</v>
      </c>
      <c r="D2893" s="62" t="s">
        <v>7097</v>
      </c>
      <c r="E2893" s="63" t="s">
        <v>7098</v>
      </c>
    </row>
    <row r="2894" spans="2:5" ht="33.75" customHeight="1">
      <c r="B2894" s="60">
        <v>2892</v>
      </c>
      <c r="C2894" s="61" t="s">
        <v>7099</v>
      </c>
      <c r="D2894" s="62" t="s">
        <v>7100</v>
      </c>
      <c r="E2894" s="63" t="s">
        <v>7101</v>
      </c>
    </row>
    <row r="2895" spans="2:5" ht="33.75" customHeight="1">
      <c r="B2895" s="60">
        <v>2893</v>
      </c>
      <c r="C2895" s="61" t="s">
        <v>7102</v>
      </c>
      <c r="D2895" s="62" t="s">
        <v>7103</v>
      </c>
      <c r="E2895" s="63" t="s">
        <v>7104</v>
      </c>
    </row>
    <row r="2896" spans="2:5" ht="33.75" customHeight="1">
      <c r="B2896" s="60">
        <v>2894</v>
      </c>
      <c r="C2896" s="61" t="s">
        <v>7105</v>
      </c>
      <c r="D2896" s="62" t="s">
        <v>7106</v>
      </c>
      <c r="E2896" s="63" t="s">
        <v>7107</v>
      </c>
    </row>
    <row r="2897" spans="2:5" ht="33.75" customHeight="1">
      <c r="B2897" s="60">
        <v>2895</v>
      </c>
      <c r="C2897" s="61" t="s">
        <v>7108</v>
      </c>
      <c r="D2897" s="62" t="s">
        <v>7109</v>
      </c>
      <c r="E2897" s="63" t="s">
        <v>7110</v>
      </c>
    </row>
    <row r="2898" spans="2:5" ht="33.75" customHeight="1">
      <c r="B2898" s="60">
        <v>2896</v>
      </c>
      <c r="C2898" s="61" t="s">
        <v>7111</v>
      </c>
      <c r="D2898" s="62" t="s">
        <v>7112</v>
      </c>
      <c r="E2898" s="63" t="s">
        <v>7113</v>
      </c>
    </row>
    <row r="2899" spans="2:5" ht="33.75" customHeight="1">
      <c r="B2899" s="60">
        <v>2897</v>
      </c>
      <c r="C2899" s="61" t="s">
        <v>7114</v>
      </c>
      <c r="D2899" s="62" t="s">
        <v>7115</v>
      </c>
      <c r="E2899" s="63" t="s">
        <v>7116</v>
      </c>
    </row>
    <row r="2900" spans="2:5" ht="33.75" customHeight="1">
      <c r="B2900" s="60">
        <v>2898</v>
      </c>
      <c r="C2900" s="61" t="s">
        <v>7117</v>
      </c>
      <c r="D2900" s="62" t="s">
        <v>7118</v>
      </c>
      <c r="E2900" s="63"/>
    </row>
    <row r="2901" spans="2:5" ht="33.75" customHeight="1">
      <c r="B2901" s="60">
        <v>2899</v>
      </c>
      <c r="C2901" s="61" t="s">
        <v>7119</v>
      </c>
      <c r="D2901" s="62" t="s">
        <v>7120</v>
      </c>
      <c r="E2901" s="63"/>
    </row>
    <row r="2902" spans="2:5" ht="33.75" customHeight="1">
      <c r="B2902" s="60">
        <v>2900</v>
      </c>
      <c r="C2902" s="61" t="s">
        <v>7121</v>
      </c>
      <c r="D2902" s="62" t="s">
        <v>7122</v>
      </c>
      <c r="E2902" s="63"/>
    </row>
    <row r="2903" spans="2:5" ht="33.75" customHeight="1">
      <c r="B2903" s="60">
        <v>2901</v>
      </c>
      <c r="C2903" s="61" t="s">
        <v>7123</v>
      </c>
      <c r="D2903" s="62" t="s">
        <v>7124</v>
      </c>
      <c r="E2903" s="63"/>
    </row>
    <row r="2904" spans="2:5" ht="33.75" customHeight="1">
      <c r="B2904" s="60">
        <v>2902</v>
      </c>
      <c r="C2904" s="61" t="s">
        <v>7125</v>
      </c>
      <c r="D2904" s="62" t="s">
        <v>7126</v>
      </c>
      <c r="E2904" s="63"/>
    </row>
    <row r="2905" spans="2:5" ht="33.75" customHeight="1">
      <c r="B2905" s="60">
        <v>2903</v>
      </c>
      <c r="C2905" s="61" t="s">
        <v>7127</v>
      </c>
      <c r="D2905" s="62" t="s">
        <v>7128</v>
      </c>
      <c r="E2905" s="63"/>
    </row>
    <row r="2906" spans="2:5" ht="33.75" customHeight="1">
      <c r="B2906" s="60">
        <v>2904</v>
      </c>
      <c r="C2906" s="61" t="s">
        <v>7129</v>
      </c>
      <c r="D2906" s="62" t="s">
        <v>7130</v>
      </c>
      <c r="E2906" s="63" t="s">
        <v>7131</v>
      </c>
    </row>
    <row r="2907" spans="2:5" ht="33.75" customHeight="1">
      <c r="B2907" s="60">
        <v>2905</v>
      </c>
      <c r="C2907" s="61" t="s">
        <v>7132</v>
      </c>
      <c r="D2907" s="62" t="s">
        <v>7133</v>
      </c>
      <c r="E2907" s="63" t="s">
        <v>7134</v>
      </c>
    </row>
    <row r="2908" spans="2:5" ht="33.75" customHeight="1">
      <c r="B2908" s="60">
        <v>2906</v>
      </c>
      <c r="C2908" s="61" t="s">
        <v>7135</v>
      </c>
      <c r="D2908" s="62" t="s">
        <v>7136</v>
      </c>
      <c r="E2908" s="63"/>
    </row>
    <row r="2909" spans="2:5" ht="33.75" customHeight="1">
      <c r="B2909" s="60">
        <v>2907</v>
      </c>
      <c r="C2909" s="61" t="s">
        <v>7137</v>
      </c>
      <c r="D2909" s="62" t="s">
        <v>7138</v>
      </c>
      <c r="E2909" s="63"/>
    </row>
    <row r="2910" spans="2:5" ht="33.75" customHeight="1">
      <c r="B2910" s="60">
        <v>2908</v>
      </c>
      <c r="C2910" s="61" t="s">
        <v>7139</v>
      </c>
      <c r="D2910" s="62" t="s">
        <v>7140</v>
      </c>
      <c r="E2910" s="63" t="s">
        <v>7141</v>
      </c>
    </row>
    <row r="2911" spans="2:5" ht="33.75" customHeight="1">
      <c r="B2911" s="60">
        <v>2909</v>
      </c>
      <c r="C2911" s="61" t="s">
        <v>7142</v>
      </c>
      <c r="D2911" s="62" t="s">
        <v>7143</v>
      </c>
      <c r="E2911" s="63" t="s">
        <v>7144</v>
      </c>
    </row>
    <row r="2912" spans="2:5" ht="33.75" customHeight="1">
      <c r="B2912" s="60">
        <v>2910</v>
      </c>
      <c r="C2912" s="61" t="s">
        <v>7145</v>
      </c>
      <c r="D2912" s="62" t="s">
        <v>7146</v>
      </c>
      <c r="E2912" s="63" t="s">
        <v>7147</v>
      </c>
    </row>
    <row r="2913" spans="2:5" ht="33.75" customHeight="1">
      <c r="B2913" s="60">
        <v>2911</v>
      </c>
      <c r="C2913" s="61" t="s">
        <v>7148</v>
      </c>
      <c r="D2913" s="62" t="s">
        <v>7149</v>
      </c>
      <c r="E2913" s="63" t="s">
        <v>7150</v>
      </c>
    </row>
    <row r="2914" spans="2:5" ht="33.75" customHeight="1">
      <c r="B2914" s="60">
        <v>2912</v>
      </c>
      <c r="C2914" s="61" t="s">
        <v>7151</v>
      </c>
      <c r="D2914" s="62" t="s">
        <v>7152</v>
      </c>
      <c r="E2914" s="63" t="s">
        <v>7153</v>
      </c>
    </row>
    <row r="2915" spans="2:5" ht="33.75" customHeight="1">
      <c r="B2915" s="60">
        <v>2913</v>
      </c>
      <c r="C2915" s="61" t="s">
        <v>7154</v>
      </c>
      <c r="D2915" s="62" t="s">
        <v>7155</v>
      </c>
      <c r="E2915" s="63"/>
    </row>
    <row r="2916" spans="2:5" ht="33.75" customHeight="1">
      <c r="B2916" s="60">
        <v>2914</v>
      </c>
      <c r="C2916" s="61" t="s">
        <v>7156</v>
      </c>
      <c r="D2916" s="62" t="s">
        <v>7157</v>
      </c>
      <c r="E2916" s="63" t="s">
        <v>7158</v>
      </c>
    </row>
    <row r="2917" spans="2:5" ht="33.75" customHeight="1">
      <c r="B2917" s="60">
        <v>2915</v>
      </c>
      <c r="C2917" s="61" t="s">
        <v>7159</v>
      </c>
      <c r="D2917" s="62" t="s">
        <v>7160</v>
      </c>
      <c r="E2917" s="63"/>
    </row>
    <row r="2918" spans="2:5" ht="33.75" customHeight="1">
      <c r="B2918" s="60">
        <v>2916</v>
      </c>
      <c r="C2918" s="61" t="s">
        <v>7161</v>
      </c>
      <c r="D2918" s="62" t="s">
        <v>7162</v>
      </c>
      <c r="E2918" s="63" t="s">
        <v>7163</v>
      </c>
    </row>
    <row r="2919" spans="2:5" ht="33.75" customHeight="1">
      <c r="B2919" s="60">
        <v>2917</v>
      </c>
      <c r="C2919" s="61" t="s">
        <v>7164</v>
      </c>
      <c r="D2919" s="62" t="s">
        <v>7165</v>
      </c>
      <c r="E2919" s="63" t="s">
        <v>7166</v>
      </c>
    </row>
    <row r="2920" spans="2:5" ht="33.75" customHeight="1">
      <c r="B2920" s="60">
        <v>2918</v>
      </c>
      <c r="C2920" s="61" t="s">
        <v>7167</v>
      </c>
      <c r="D2920" s="62" t="s">
        <v>7168</v>
      </c>
      <c r="E2920" s="63" t="s">
        <v>7169</v>
      </c>
    </row>
    <row r="2921" spans="2:5" ht="33.75" customHeight="1">
      <c r="B2921" s="60">
        <v>2919</v>
      </c>
      <c r="C2921" s="61" t="s">
        <v>7170</v>
      </c>
      <c r="D2921" s="62" t="s">
        <v>7171</v>
      </c>
      <c r="E2921" s="63" t="s">
        <v>7172</v>
      </c>
    </row>
    <row r="2922" spans="2:5" ht="33.75" customHeight="1">
      <c r="B2922" s="60">
        <v>2920</v>
      </c>
      <c r="C2922" s="61" t="s">
        <v>7173</v>
      </c>
      <c r="D2922" s="62" t="s">
        <v>7174</v>
      </c>
      <c r="E2922" s="63"/>
    </row>
    <row r="2923" spans="2:5" ht="33.75" customHeight="1">
      <c r="B2923" s="60">
        <v>2921</v>
      </c>
      <c r="C2923" s="61" t="s">
        <v>7175</v>
      </c>
      <c r="D2923" s="62" t="s">
        <v>7176</v>
      </c>
      <c r="E2923" s="63" t="s">
        <v>7177</v>
      </c>
    </row>
    <row r="2924" spans="2:5" ht="33.75" customHeight="1">
      <c r="B2924" s="60">
        <v>2922</v>
      </c>
      <c r="C2924" s="61" t="s">
        <v>7178</v>
      </c>
      <c r="D2924" s="62" t="s">
        <v>7179</v>
      </c>
      <c r="E2924" s="63" t="s">
        <v>7180</v>
      </c>
    </row>
    <row r="2925" spans="2:5" ht="33.75" customHeight="1">
      <c r="B2925" s="60">
        <v>2923</v>
      </c>
      <c r="C2925" s="61" t="s">
        <v>7181</v>
      </c>
      <c r="D2925" s="62" t="s">
        <v>7182</v>
      </c>
      <c r="E2925" s="63" t="s">
        <v>7183</v>
      </c>
    </row>
    <row r="2926" spans="2:5" ht="33.75" customHeight="1">
      <c r="B2926" s="60">
        <v>2924</v>
      </c>
      <c r="C2926" s="61" t="s">
        <v>7184</v>
      </c>
      <c r="D2926" s="62" t="s">
        <v>7185</v>
      </c>
      <c r="E2926" s="63" t="s">
        <v>7186</v>
      </c>
    </row>
    <row r="2927" spans="2:5" ht="33.75" customHeight="1">
      <c r="B2927" s="60">
        <v>2925</v>
      </c>
      <c r="C2927" s="61" t="s">
        <v>7187</v>
      </c>
      <c r="D2927" s="62" t="s">
        <v>7188</v>
      </c>
      <c r="E2927" s="63" t="s">
        <v>7189</v>
      </c>
    </row>
    <row r="2928" spans="2:5" ht="33.75" customHeight="1">
      <c r="B2928" s="60">
        <v>2926</v>
      </c>
      <c r="C2928" s="61" t="s">
        <v>7190</v>
      </c>
      <c r="D2928" s="62" t="s">
        <v>7191</v>
      </c>
      <c r="E2928" s="63" t="s">
        <v>7192</v>
      </c>
    </row>
    <row r="2929" spans="2:5" ht="33.75" customHeight="1">
      <c r="B2929" s="60">
        <v>2927</v>
      </c>
      <c r="C2929" s="61" t="s">
        <v>7193</v>
      </c>
      <c r="D2929" s="62" t="s">
        <v>7194</v>
      </c>
      <c r="E2929" s="63"/>
    </row>
    <row r="2930" spans="2:5" ht="33.75" customHeight="1">
      <c r="B2930" s="60">
        <v>2928</v>
      </c>
      <c r="C2930" s="61" t="s">
        <v>7195</v>
      </c>
      <c r="D2930" s="62" t="s">
        <v>7196</v>
      </c>
      <c r="E2930" s="63" t="s">
        <v>7197</v>
      </c>
    </row>
    <row r="2931" spans="2:5" ht="33.75" customHeight="1">
      <c r="B2931" s="60">
        <v>2929</v>
      </c>
      <c r="C2931" s="61" t="s">
        <v>7198</v>
      </c>
      <c r="D2931" s="62" t="s">
        <v>7199</v>
      </c>
      <c r="E2931" s="63" t="s">
        <v>7200</v>
      </c>
    </row>
    <row r="2932" spans="2:5" ht="33.75" customHeight="1">
      <c r="B2932" s="60">
        <v>2930</v>
      </c>
      <c r="C2932" s="61" t="s">
        <v>7201</v>
      </c>
      <c r="D2932" s="62" t="s">
        <v>7202</v>
      </c>
      <c r="E2932" s="63"/>
    </row>
    <row r="2933" spans="2:5" ht="33.75" customHeight="1">
      <c r="B2933" s="60">
        <v>2931</v>
      </c>
      <c r="C2933" s="61" t="s">
        <v>7203</v>
      </c>
      <c r="D2933" s="62" t="s">
        <v>7204</v>
      </c>
      <c r="E2933" s="63" t="s">
        <v>7205</v>
      </c>
    </row>
    <row r="2934" spans="2:5" ht="33.75" customHeight="1">
      <c r="B2934" s="60">
        <v>2932</v>
      </c>
      <c r="C2934" s="61" t="s">
        <v>7206</v>
      </c>
      <c r="D2934" s="62" t="s">
        <v>7207</v>
      </c>
      <c r="E2934" s="63"/>
    </row>
    <row r="2935" spans="2:5" ht="33.75" customHeight="1">
      <c r="B2935" s="60">
        <v>2933</v>
      </c>
      <c r="C2935" s="61" t="s">
        <v>7208</v>
      </c>
      <c r="D2935" s="62" t="s">
        <v>7209</v>
      </c>
      <c r="E2935" s="63" t="s">
        <v>7210</v>
      </c>
    </row>
    <row r="2936" spans="2:5" ht="33.75" customHeight="1">
      <c r="B2936" s="60">
        <v>2934</v>
      </c>
      <c r="C2936" s="61" t="s">
        <v>7211</v>
      </c>
      <c r="D2936" s="62" t="s">
        <v>7212</v>
      </c>
      <c r="E2936" s="63" t="s">
        <v>7213</v>
      </c>
    </row>
    <row r="2937" spans="2:5" ht="33.75" customHeight="1">
      <c r="B2937" s="60">
        <v>2935</v>
      </c>
      <c r="C2937" s="61" t="s">
        <v>7214</v>
      </c>
      <c r="D2937" s="62" t="s">
        <v>7215</v>
      </c>
      <c r="E2937" s="63"/>
    </row>
    <row r="2938" spans="2:5" ht="33.75" customHeight="1">
      <c r="B2938" s="60">
        <v>2936</v>
      </c>
      <c r="C2938" s="61" t="s">
        <v>7216</v>
      </c>
      <c r="D2938" s="62" t="s">
        <v>7217</v>
      </c>
      <c r="E2938" s="63"/>
    </row>
    <row r="2939" spans="2:5" ht="33.75" customHeight="1">
      <c r="B2939" s="60">
        <v>2937</v>
      </c>
      <c r="C2939" s="61" t="s">
        <v>7218</v>
      </c>
      <c r="D2939" s="62" t="s">
        <v>7219</v>
      </c>
      <c r="E2939" s="63" t="s">
        <v>7220</v>
      </c>
    </row>
    <row r="2940" spans="2:5" ht="33.75" customHeight="1">
      <c r="B2940" s="60">
        <v>2938</v>
      </c>
      <c r="C2940" s="61" t="s">
        <v>7221</v>
      </c>
      <c r="D2940" s="62" t="s">
        <v>7222</v>
      </c>
      <c r="E2940" s="63"/>
    </row>
    <row r="2941" spans="2:5" ht="33.75" customHeight="1">
      <c r="B2941" s="60">
        <v>2939</v>
      </c>
      <c r="C2941" s="61" t="s">
        <v>7223</v>
      </c>
      <c r="D2941" s="62" t="s">
        <v>7224</v>
      </c>
      <c r="E2941" s="63" t="s">
        <v>7225</v>
      </c>
    </row>
    <row r="2942" spans="2:5" ht="33.75" customHeight="1">
      <c r="B2942" s="60">
        <v>2940</v>
      </c>
      <c r="C2942" s="61" t="s">
        <v>7226</v>
      </c>
      <c r="D2942" s="62" t="s">
        <v>7227</v>
      </c>
      <c r="E2942" s="63" t="s">
        <v>7228</v>
      </c>
    </row>
    <row r="2943" spans="2:5" ht="33.75" customHeight="1">
      <c r="B2943" s="60">
        <v>2941</v>
      </c>
      <c r="C2943" s="61" t="s">
        <v>7229</v>
      </c>
      <c r="D2943" s="62" t="s">
        <v>7230</v>
      </c>
      <c r="E2943" s="63"/>
    </row>
    <row r="2944" spans="2:5" ht="33.75" customHeight="1">
      <c r="B2944" s="60">
        <v>2942</v>
      </c>
      <c r="C2944" s="61" t="s">
        <v>7231</v>
      </c>
      <c r="D2944" s="62" t="s">
        <v>7232</v>
      </c>
      <c r="E2944" s="63"/>
    </row>
    <row r="2945" spans="2:5" ht="33.75" customHeight="1">
      <c r="B2945" s="60">
        <v>2943</v>
      </c>
      <c r="C2945" s="61" t="s">
        <v>7233</v>
      </c>
      <c r="D2945" s="62" t="s">
        <v>7234</v>
      </c>
      <c r="E2945" s="63" t="s">
        <v>7235</v>
      </c>
    </row>
    <row r="2946" spans="2:5" ht="33.75" customHeight="1">
      <c r="B2946" s="60">
        <v>2944</v>
      </c>
      <c r="C2946" s="61" t="s">
        <v>7236</v>
      </c>
      <c r="D2946" s="62" t="s">
        <v>7237</v>
      </c>
      <c r="E2946" s="63" t="s">
        <v>7238</v>
      </c>
    </row>
    <row r="2947" spans="2:5" ht="33.75" customHeight="1">
      <c r="B2947" s="60">
        <v>2945</v>
      </c>
      <c r="C2947" s="61" t="s">
        <v>7239</v>
      </c>
      <c r="D2947" s="62" t="s">
        <v>7240</v>
      </c>
      <c r="E2947" s="63" t="s">
        <v>7241</v>
      </c>
    </row>
    <row r="2948" spans="2:5" ht="33.75" customHeight="1">
      <c r="B2948" s="60">
        <v>2946</v>
      </c>
      <c r="C2948" s="61" t="s">
        <v>7242</v>
      </c>
      <c r="D2948" s="62" t="s">
        <v>7243</v>
      </c>
      <c r="E2948" s="63"/>
    </row>
    <row r="2949" spans="2:5" ht="33.75" customHeight="1">
      <c r="B2949" s="60">
        <v>2947</v>
      </c>
      <c r="C2949" s="61" t="s">
        <v>7244</v>
      </c>
      <c r="D2949" s="62" t="s">
        <v>7245</v>
      </c>
      <c r="E2949" s="63"/>
    </row>
    <row r="2950" spans="2:5" ht="33.75" customHeight="1">
      <c r="B2950" s="60">
        <v>2948</v>
      </c>
      <c r="C2950" s="61" t="s">
        <v>7246</v>
      </c>
      <c r="D2950" s="62" t="s">
        <v>7247</v>
      </c>
      <c r="E2950" s="63" t="s">
        <v>7248</v>
      </c>
    </row>
    <row r="2951" spans="2:5" ht="33.75" customHeight="1">
      <c r="B2951" s="60">
        <v>2949</v>
      </c>
      <c r="C2951" s="61" t="s">
        <v>7249</v>
      </c>
      <c r="D2951" s="62" t="s">
        <v>7250</v>
      </c>
      <c r="E2951" s="63" t="s">
        <v>7251</v>
      </c>
    </row>
    <row r="2952" spans="2:5" ht="33.75" customHeight="1">
      <c r="B2952" s="60">
        <v>2950</v>
      </c>
      <c r="C2952" s="61" t="s">
        <v>7252</v>
      </c>
      <c r="D2952" s="62" t="s">
        <v>7253</v>
      </c>
      <c r="E2952" s="63"/>
    </row>
    <row r="2953" spans="2:5" ht="33.75" customHeight="1">
      <c r="B2953" s="60">
        <v>2951</v>
      </c>
      <c r="C2953" s="61" t="s">
        <v>7254</v>
      </c>
      <c r="D2953" s="62" t="s">
        <v>7255</v>
      </c>
      <c r="E2953" s="63"/>
    </row>
    <row r="2954" spans="2:5" ht="33.75" customHeight="1">
      <c r="B2954" s="60">
        <v>2952</v>
      </c>
      <c r="C2954" s="61" t="s">
        <v>7256</v>
      </c>
      <c r="D2954" s="62" t="s">
        <v>7257</v>
      </c>
      <c r="E2954" s="63" t="s">
        <v>7258</v>
      </c>
    </row>
    <row r="2955" spans="2:5" ht="33.75" customHeight="1">
      <c r="B2955" s="60">
        <v>2953</v>
      </c>
      <c r="C2955" s="61" t="s">
        <v>7259</v>
      </c>
      <c r="D2955" s="62" t="s">
        <v>7260</v>
      </c>
      <c r="E2955" s="63" t="s">
        <v>7261</v>
      </c>
    </row>
    <row r="2956" spans="2:5" ht="33.75" customHeight="1">
      <c r="B2956" s="60">
        <v>2954</v>
      </c>
      <c r="C2956" s="61" t="s">
        <v>7262</v>
      </c>
      <c r="D2956" s="62" t="s">
        <v>7263</v>
      </c>
      <c r="E2956" s="63" t="s">
        <v>7264</v>
      </c>
    </row>
    <row r="2957" spans="2:5" ht="33.75" customHeight="1">
      <c r="B2957" s="60">
        <v>2955</v>
      </c>
      <c r="C2957" s="61" t="s">
        <v>7265</v>
      </c>
      <c r="D2957" s="62" t="s">
        <v>7266</v>
      </c>
      <c r="E2957" s="63" t="s">
        <v>7267</v>
      </c>
    </row>
    <row r="2958" spans="2:5" ht="33.75" customHeight="1">
      <c r="B2958" s="60">
        <v>2956</v>
      </c>
      <c r="C2958" s="61" t="s">
        <v>7268</v>
      </c>
      <c r="D2958" s="62" t="s">
        <v>7269</v>
      </c>
      <c r="E2958" s="63"/>
    </row>
    <row r="2959" spans="2:5" ht="33.75" customHeight="1">
      <c r="B2959" s="60">
        <v>2957</v>
      </c>
      <c r="C2959" s="61" t="s">
        <v>7270</v>
      </c>
      <c r="D2959" s="62" t="s">
        <v>7271</v>
      </c>
      <c r="E2959" s="63" t="s">
        <v>7272</v>
      </c>
    </row>
    <row r="2960" spans="2:5" ht="33.75" customHeight="1">
      <c r="B2960" s="60">
        <v>2958</v>
      </c>
      <c r="C2960" s="61" t="s">
        <v>7273</v>
      </c>
      <c r="D2960" s="62" t="s">
        <v>7274</v>
      </c>
      <c r="E2960" s="63" t="s">
        <v>7275</v>
      </c>
    </row>
    <row r="2961" spans="2:5" ht="33.75" customHeight="1">
      <c r="B2961" s="60">
        <v>2959</v>
      </c>
      <c r="C2961" s="61" t="s">
        <v>7276</v>
      </c>
      <c r="D2961" s="62" t="s">
        <v>7277</v>
      </c>
      <c r="E2961" s="63" t="s">
        <v>7278</v>
      </c>
    </row>
    <row r="2962" spans="2:5" ht="33.75" customHeight="1">
      <c r="B2962" s="60">
        <v>2960</v>
      </c>
      <c r="C2962" s="61" t="s">
        <v>7279</v>
      </c>
      <c r="D2962" s="62" t="s">
        <v>7280</v>
      </c>
      <c r="E2962" s="63"/>
    </row>
    <row r="2963" spans="2:5" ht="33.75" customHeight="1">
      <c r="B2963" s="60">
        <v>2961</v>
      </c>
      <c r="C2963" s="61" t="s">
        <v>7281</v>
      </c>
      <c r="D2963" s="62" t="s">
        <v>7282</v>
      </c>
      <c r="E2963" s="63" t="s">
        <v>7283</v>
      </c>
    </row>
    <row r="2964" spans="2:5" ht="33.75" customHeight="1">
      <c r="B2964" s="60">
        <v>2962</v>
      </c>
      <c r="C2964" s="61" t="s">
        <v>7284</v>
      </c>
      <c r="D2964" s="62" t="s">
        <v>7285</v>
      </c>
      <c r="E2964" s="63"/>
    </row>
    <row r="2965" spans="2:5" ht="33.75" customHeight="1">
      <c r="B2965" s="60">
        <v>2963</v>
      </c>
      <c r="C2965" s="61" t="s">
        <v>7286</v>
      </c>
      <c r="D2965" s="62" t="s">
        <v>7287</v>
      </c>
      <c r="E2965" s="63" t="s">
        <v>7288</v>
      </c>
    </row>
    <row r="2966" spans="2:5" ht="33.75" customHeight="1">
      <c r="B2966" s="60">
        <v>2964</v>
      </c>
      <c r="C2966" s="61" t="s">
        <v>7289</v>
      </c>
      <c r="D2966" s="62" t="s">
        <v>7290</v>
      </c>
      <c r="E2966" s="63"/>
    </row>
    <row r="2967" spans="2:5" ht="33.75" customHeight="1">
      <c r="B2967" s="60">
        <v>2965</v>
      </c>
      <c r="C2967" s="61" t="s">
        <v>7291</v>
      </c>
      <c r="D2967" s="62" t="s">
        <v>7292</v>
      </c>
      <c r="E2967" s="63"/>
    </row>
    <row r="2968" spans="2:5" ht="33.75" customHeight="1">
      <c r="B2968" s="60">
        <v>2966</v>
      </c>
      <c r="C2968" s="61" t="s">
        <v>7293</v>
      </c>
      <c r="D2968" s="62" t="s">
        <v>7294</v>
      </c>
      <c r="E2968" s="63" t="s">
        <v>7295</v>
      </c>
    </row>
    <row r="2969" spans="2:5" ht="33.75" customHeight="1">
      <c r="B2969" s="60">
        <v>2967</v>
      </c>
      <c r="C2969" s="61" t="s">
        <v>7296</v>
      </c>
      <c r="D2969" s="62" t="s">
        <v>7297</v>
      </c>
      <c r="E2969" s="63" t="s">
        <v>7298</v>
      </c>
    </row>
    <row r="2970" spans="2:5" ht="33.75" customHeight="1">
      <c r="B2970" s="60">
        <v>2968</v>
      </c>
      <c r="C2970" s="61" t="s">
        <v>7299</v>
      </c>
      <c r="D2970" s="62" t="s">
        <v>7300</v>
      </c>
      <c r="E2970" s="63" t="s">
        <v>7301</v>
      </c>
    </row>
    <row r="2971" spans="2:5" ht="33.75" customHeight="1">
      <c r="B2971" s="60">
        <v>2969</v>
      </c>
      <c r="C2971" s="61" t="s">
        <v>7302</v>
      </c>
      <c r="D2971" s="62" t="s">
        <v>7303</v>
      </c>
      <c r="E2971" s="63" t="s">
        <v>7304</v>
      </c>
    </row>
    <row r="2972" spans="2:5" ht="33.75" customHeight="1">
      <c r="B2972" s="60">
        <v>2970</v>
      </c>
      <c r="C2972" s="61" t="s">
        <v>7305</v>
      </c>
      <c r="D2972" s="62" t="s">
        <v>7306</v>
      </c>
      <c r="E2972" s="63" t="s">
        <v>7307</v>
      </c>
    </row>
    <row r="2973" spans="2:5" ht="33.75" customHeight="1">
      <c r="B2973" s="60">
        <v>2971</v>
      </c>
      <c r="C2973" s="61" t="s">
        <v>7308</v>
      </c>
      <c r="D2973" s="62" t="s">
        <v>7309</v>
      </c>
      <c r="E2973" s="63"/>
    </row>
    <row r="2974" spans="2:5" ht="33.75" customHeight="1">
      <c r="B2974" s="60">
        <v>2972</v>
      </c>
      <c r="C2974" s="61" t="s">
        <v>7310</v>
      </c>
      <c r="D2974" s="62" t="s">
        <v>7311</v>
      </c>
      <c r="E2974" s="63" t="s">
        <v>7312</v>
      </c>
    </row>
    <row r="2975" spans="2:5" ht="33.75" customHeight="1">
      <c r="B2975" s="60">
        <v>2973</v>
      </c>
      <c r="C2975" s="61" t="s">
        <v>7313</v>
      </c>
      <c r="D2975" s="62" t="s">
        <v>7314</v>
      </c>
      <c r="E2975" s="63"/>
    </row>
    <row r="2976" spans="2:5" ht="33.75" customHeight="1">
      <c r="B2976" s="60">
        <v>2974</v>
      </c>
      <c r="C2976" s="61" t="s">
        <v>7315</v>
      </c>
      <c r="D2976" s="62" t="s">
        <v>7316</v>
      </c>
      <c r="E2976" s="63" t="s">
        <v>7317</v>
      </c>
    </row>
    <row r="2977" spans="2:5" ht="33.75" customHeight="1">
      <c r="B2977" s="60">
        <v>2975</v>
      </c>
      <c r="C2977" s="61" t="s">
        <v>7318</v>
      </c>
      <c r="D2977" s="62" t="s">
        <v>7319</v>
      </c>
      <c r="E2977" s="63"/>
    </row>
    <row r="2978" spans="2:5" ht="33.75" customHeight="1">
      <c r="B2978" s="60">
        <v>2976</v>
      </c>
      <c r="C2978" s="61" t="s">
        <v>7320</v>
      </c>
      <c r="D2978" s="62" t="s">
        <v>7321</v>
      </c>
      <c r="E2978" s="63" t="s">
        <v>7322</v>
      </c>
    </row>
    <row r="2979" spans="2:5" ht="33.75" customHeight="1">
      <c r="B2979" s="60">
        <v>2977</v>
      </c>
      <c r="C2979" s="61" t="s">
        <v>7323</v>
      </c>
      <c r="D2979" s="62" t="s">
        <v>7324</v>
      </c>
      <c r="E2979" s="63" t="s">
        <v>7325</v>
      </c>
    </row>
    <row r="2980" spans="2:5" ht="33.75" customHeight="1">
      <c r="B2980" s="60">
        <v>2978</v>
      </c>
      <c r="C2980" s="61" t="s">
        <v>7326</v>
      </c>
      <c r="D2980" s="62" t="s">
        <v>7327</v>
      </c>
      <c r="E2980" s="63" t="s">
        <v>7328</v>
      </c>
    </row>
    <row r="2981" spans="2:5" ht="33.75" customHeight="1">
      <c r="B2981" s="60">
        <v>2979</v>
      </c>
      <c r="C2981" s="61" t="s">
        <v>7329</v>
      </c>
      <c r="D2981" s="62" t="s">
        <v>7330</v>
      </c>
      <c r="E2981" s="63"/>
    </row>
    <row r="2982" spans="2:5" ht="33.75" customHeight="1">
      <c r="B2982" s="60">
        <v>2980</v>
      </c>
      <c r="C2982" s="61" t="s">
        <v>7331</v>
      </c>
      <c r="D2982" s="62" t="s">
        <v>7332</v>
      </c>
      <c r="E2982" s="63" t="s">
        <v>7333</v>
      </c>
    </row>
    <row r="2983" spans="2:5" ht="33.75" customHeight="1">
      <c r="B2983" s="60">
        <v>2981</v>
      </c>
      <c r="C2983" s="61" t="s">
        <v>7334</v>
      </c>
      <c r="D2983" s="62" t="s">
        <v>7335</v>
      </c>
      <c r="E2983" s="63" t="s">
        <v>7336</v>
      </c>
    </row>
    <row r="2984" spans="2:5" ht="33.75" customHeight="1">
      <c r="B2984" s="60">
        <v>2982</v>
      </c>
      <c r="C2984" s="61" t="s">
        <v>7337</v>
      </c>
      <c r="D2984" s="62" t="s">
        <v>7338</v>
      </c>
      <c r="E2984" s="63"/>
    </row>
    <row r="2985" spans="2:5" ht="33.75" customHeight="1">
      <c r="B2985" s="60">
        <v>2983</v>
      </c>
      <c r="C2985" s="61" t="s">
        <v>7339</v>
      </c>
      <c r="D2985" s="62" t="s">
        <v>7340</v>
      </c>
      <c r="E2985" s="63" t="s">
        <v>7341</v>
      </c>
    </row>
    <row r="2986" spans="2:5" ht="33.75" customHeight="1">
      <c r="B2986" s="60">
        <v>2984</v>
      </c>
      <c r="C2986" s="61" t="s">
        <v>7342</v>
      </c>
      <c r="D2986" s="62" t="s">
        <v>7343</v>
      </c>
      <c r="E2986" s="63" t="s">
        <v>7344</v>
      </c>
    </row>
    <row r="2987" spans="2:5" ht="33.75" customHeight="1">
      <c r="B2987" s="60">
        <v>2985</v>
      </c>
      <c r="C2987" s="61" t="s">
        <v>7345</v>
      </c>
      <c r="D2987" s="62" t="s">
        <v>7346</v>
      </c>
      <c r="E2987" s="63" t="s">
        <v>7347</v>
      </c>
    </row>
    <row r="2988" spans="2:5" ht="33.75" customHeight="1">
      <c r="B2988" s="60">
        <v>2986</v>
      </c>
      <c r="C2988" s="61" t="s">
        <v>7348</v>
      </c>
      <c r="D2988" s="62" t="s">
        <v>7349</v>
      </c>
      <c r="E2988" s="63" t="s">
        <v>7350</v>
      </c>
    </row>
    <row r="2989" spans="2:5" ht="33.75" customHeight="1">
      <c r="B2989" s="60">
        <v>2987</v>
      </c>
      <c r="C2989" s="61" t="s">
        <v>7351</v>
      </c>
      <c r="D2989" s="62" t="s">
        <v>7352</v>
      </c>
      <c r="E2989" s="63"/>
    </row>
    <row r="2990" spans="2:5" ht="33.75" customHeight="1">
      <c r="B2990" s="60">
        <v>2988</v>
      </c>
      <c r="C2990" s="61" t="s">
        <v>7353</v>
      </c>
      <c r="D2990" s="62" t="s">
        <v>7354</v>
      </c>
      <c r="E2990" s="63" t="s">
        <v>7355</v>
      </c>
    </row>
    <row r="2991" spans="2:5" ht="33.75" customHeight="1">
      <c r="B2991" s="60">
        <v>2989</v>
      </c>
      <c r="C2991" s="61" t="s">
        <v>7356</v>
      </c>
      <c r="D2991" s="62" t="s">
        <v>7357</v>
      </c>
      <c r="E2991" s="63"/>
    </row>
    <row r="2992" spans="2:5" ht="33.75" customHeight="1">
      <c r="B2992" s="60">
        <v>2990</v>
      </c>
      <c r="C2992" s="61" t="s">
        <v>7358</v>
      </c>
      <c r="D2992" s="62" t="s">
        <v>7359</v>
      </c>
      <c r="E2992" s="63" t="s">
        <v>7360</v>
      </c>
    </row>
    <row r="2993" spans="2:5" ht="33.75" customHeight="1">
      <c r="B2993" s="60">
        <v>2991</v>
      </c>
      <c r="C2993" s="61" t="s">
        <v>7361</v>
      </c>
      <c r="D2993" s="62" t="s">
        <v>7362</v>
      </c>
      <c r="E2993" s="63" t="s">
        <v>7363</v>
      </c>
    </row>
    <row r="2994" spans="2:5" ht="33.75" customHeight="1">
      <c r="B2994" s="60">
        <v>2992</v>
      </c>
      <c r="C2994" s="61" t="s">
        <v>7364</v>
      </c>
      <c r="D2994" s="62" t="s">
        <v>7365</v>
      </c>
      <c r="E2994" s="63" t="s">
        <v>7366</v>
      </c>
    </row>
    <row r="2995" spans="2:5" ht="33.75" customHeight="1">
      <c r="B2995" s="60">
        <v>2993</v>
      </c>
      <c r="C2995" s="61" t="s">
        <v>7367</v>
      </c>
      <c r="D2995" s="62" t="s">
        <v>7368</v>
      </c>
      <c r="E2995" s="63"/>
    </row>
    <row r="2996" spans="2:5" ht="33.75" customHeight="1">
      <c r="B2996" s="60">
        <v>2994</v>
      </c>
      <c r="C2996" s="61" t="s">
        <v>7369</v>
      </c>
      <c r="D2996" s="62" t="s">
        <v>7370</v>
      </c>
      <c r="E2996" s="63" t="s">
        <v>7371</v>
      </c>
    </row>
    <row r="2997" spans="2:5" ht="33.75" customHeight="1">
      <c r="B2997" s="60">
        <v>2995</v>
      </c>
      <c r="C2997" s="61" t="s">
        <v>7372</v>
      </c>
      <c r="D2997" s="62" t="s">
        <v>7373</v>
      </c>
      <c r="E2997" s="63" t="s">
        <v>7374</v>
      </c>
    </row>
    <row r="2998" spans="2:5" ht="33.75" customHeight="1">
      <c r="B2998" s="60">
        <v>2996</v>
      </c>
      <c r="C2998" s="61" t="s">
        <v>7375</v>
      </c>
      <c r="D2998" s="62" t="s">
        <v>7376</v>
      </c>
      <c r="E2998" s="63" t="s">
        <v>7377</v>
      </c>
    </row>
    <row r="2999" spans="2:5" ht="33.75" customHeight="1">
      <c r="B2999" s="60">
        <v>2997</v>
      </c>
      <c r="C2999" s="61" t="s">
        <v>7378</v>
      </c>
      <c r="D2999" s="62" t="s">
        <v>7379</v>
      </c>
      <c r="E2999" s="63" t="s">
        <v>7380</v>
      </c>
    </row>
    <row r="3000" spans="2:5" ht="33.75" customHeight="1">
      <c r="B3000" s="60">
        <v>2998</v>
      </c>
      <c r="C3000" s="61" t="s">
        <v>7381</v>
      </c>
      <c r="D3000" s="62" t="s">
        <v>7382</v>
      </c>
      <c r="E3000" s="63" t="s">
        <v>7383</v>
      </c>
    </row>
    <row r="3001" spans="2:5" ht="33.75" customHeight="1">
      <c r="B3001" s="60">
        <v>2999</v>
      </c>
      <c r="C3001" s="61" t="s">
        <v>7384</v>
      </c>
      <c r="D3001" s="62" t="s">
        <v>7385</v>
      </c>
      <c r="E3001" s="63" t="s">
        <v>7386</v>
      </c>
    </row>
    <row r="3002" spans="2:5" ht="33.75" customHeight="1">
      <c r="B3002" s="60">
        <v>3000</v>
      </c>
      <c r="C3002" s="61" t="s">
        <v>7387</v>
      </c>
      <c r="D3002" s="62" t="s">
        <v>7388</v>
      </c>
      <c r="E3002" s="63" t="s">
        <v>7389</v>
      </c>
    </row>
    <row r="3003" spans="2:5" ht="33.75" customHeight="1">
      <c r="B3003" s="60">
        <v>3001</v>
      </c>
      <c r="C3003" s="61" t="s">
        <v>7390</v>
      </c>
      <c r="D3003" s="62" t="s">
        <v>7391</v>
      </c>
      <c r="E3003" s="63" t="s">
        <v>7392</v>
      </c>
    </row>
    <row r="3004" spans="2:5" ht="33.75" customHeight="1">
      <c r="B3004" s="60">
        <v>3002</v>
      </c>
      <c r="C3004" s="61" t="s">
        <v>7393</v>
      </c>
      <c r="D3004" s="62" t="s">
        <v>7394</v>
      </c>
      <c r="E3004" s="63" t="s">
        <v>7392</v>
      </c>
    </row>
    <row r="3005" spans="2:5" ht="33.75" customHeight="1">
      <c r="B3005" s="60">
        <v>3003</v>
      </c>
      <c r="C3005" s="61" t="s">
        <v>7395</v>
      </c>
      <c r="D3005" s="62" t="s">
        <v>7396</v>
      </c>
      <c r="E3005" s="63" t="s">
        <v>7397</v>
      </c>
    </row>
    <row r="3006" spans="2:5" ht="33.75" customHeight="1">
      <c r="B3006" s="60">
        <v>3004</v>
      </c>
      <c r="C3006" s="61" t="s">
        <v>7398</v>
      </c>
      <c r="D3006" s="62" t="s">
        <v>7399</v>
      </c>
      <c r="E3006" s="63" t="s">
        <v>7400</v>
      </c>
    </row>
    <row r="3007" spans="2:5" ht="33.75" customHeight="1">
      <c r="B3007" s="60">
        <v>3005</v>
      </c>
      <c r="C3007" s="61" t="s">
        <v>7401</v>
      </c>
      <c r="D3007" s="62" t="s">
        <v>7402</v>
      </c>
      <c r="E3007" s="63" t="s">
        <v>7403</v>
      </c>
    </row>
    <row r="3008" spans="2:5" ht="33.75" customHeight="1">
      <c r="B3008" s="60">
        <v>3006</v>
      </c>
      <c r="C3008" s="61" t="s">
        <v>7404</v>
      </c>
      <c r="D3008" s="62" t="s">
        <v>7405</v>
      </c>
      <c r="E3008" s="63" t="s">
        <v>7406</v>
      </c>
    </row>
    <row r="3009" spans="2:5" ht="33.75" customHeight="1">
      <c r="B3009" s="60">
        <v>3007</v>
      </c>
      <c r="C3009" s="61" t="s">
        <v>7407</v>
      </c>
      <c r="D3009" s="62" t="s">
        <v>7408</v>
      </c>
      <c r="E3009" s="63" t="s">
        <v>7409</v>
      </c>
    </row>
    <row r="3010" spans="2:5" ht="33.75" customHeight="1">
      <c r="B3010" s="60">
        <v>3008</v>
      </c>
      <c r="C3010" s="61" t="s">
        <v>7410</v>
      </c>
      <c r="D3010" s="62" t="s">
        <v>7411</v>
      </c>
      <c r="E3010" s="63"/>
    </row>
    <row r="3011" spans="2:5" ht="33.75" customHeight="1">
      <c r="B3011" s="60">
        <v>3009</v>
      </c>
      <c r="C3011" s="61" t="s">
        <v>7412</v>
      </c>
      <c r="D3011" s="62" t="s">
        <v>7413</v>
      </c>
      <c r="E3011" s="63"/>
    </row>
    <row r="3012" spans="2:5" ht="33.75" customHeight="1">
      <c r="B3012" s="60">
        <v>3010</v>
      </c>
      <c r="C3012" s="61" t="s">
        <v>7414</v>
      </c>
      <c r="D3012" s="62" t="s">
        <v>7415</v>
      </c>
      <c r="E3012" s="63" t="s">
        <v>7416</v>
      </c>
    </row>
    <row r="3013" spans="2:5" ht="33.75" customHeight="1">
      <c r="B3013" s="60">
        <v>3011</v>
      </c>
      <c r="C3013" s="61" t="s">
        <v>7417</v>
      </c>
      <c r="D3013" s="62" t="s">
        <v>7418</v>
      </c>
      <c r="E3013" s="63" t="s">
        <v>7416</v>
      </c>
    </row>
    <row r="3014" spans="2:5" ht="33.75" customHeight="1">
      <c r="B3014" s="60">
        <v>3012</v>
      </c>
      <c r="C3014" s="61" t="s">
        <v>7419</v>
      </c>
      <c r="D3014" s="62" t="s">
        <v>7420</v>
      </c>
      <c r="E3014" s="63"/>
    </row>
    <row r="3015" spans="2:5" ht="33.75" customHeight="1">
      <c r="B3015" s="60">
        <v>3013</v>
      </c>
      <c r="C3015" s="61" t="s">
        <v>7421</v>
      </c>
      <c r="D3015" s="62" t="s">
        <v>7422</v>
      </c>
      <c r="E3015" s="63"/>
    </row>
    <row r="3016" spans="2:5" ht="33.75" customHeight="1">
      <c r="B3016" s="60">
        <v>3014</v>
      </c>
      <c r="C3016" s="61" t="s">
        <v>7423</v>
      </c>
      <c r="D3016" s="62" t="s">
        <v>7424</v>
      </c>
      <c r="E3016" s="63"/>
    </row>
    <row r="3017" spans="2:5" ht="33.75" customHeight="1">
      <c r="B3017" s="60">
        <v>3015</v>
      </c>
      <c r="C3017" s="61" t="s">
        <v>7425</v>
      </c>
      <c r="D3017" s="62" t="s">
        <v>7426</v>
      </c>
      <c r="E3017" s="63" t="s">
        <v>7427</v>
      </c>
    </row>
    <row r="3018" spans="2:5" ht="33.75" customHeight="1">
      <c r="B3018" s="60">
        <v>3016</v>
      </c>
      <c r="C3018" s="61" t="s">
        <v>7428</v>
      </c>
      <c r="D3018" s="62" t="s">
        <v>7429</v>
      </c>
      <c r="E3018" s="63" t="s">
        <v>7430</v>
      </c>
    </row>
    <row r="3019" spans="2:5" ht="33.75" customHeight="1">
      <c r="B3019" s="60">
        <v>3017</v>
      </c>
      <c r="C3019" s="61" t="s">
        <v>7431</v>
      </c>
      <c r="D3019" s="62" t="s">
        <v>7432</v>
      </c>
      <c r="E3019" s="63"/>
    </row>
    <row r="3020" spans="2:5" ht="33.75" customHeight="1">
      <c r="B3020" s="60">
        <v>3018</v>
      </c>
      <c r="C3020" s="61" t="s">
        <v>7433</v>
      </c>
      <c r="D3020" s="62" t="s">
        <v>7434</v>
      </c>
      <c r="E3020" s="63" t="s">
        <v>7435</v>
      </c>
    </row>
    <row r="3021" spans="2:5" ht="33.75" customHeight="1">
      <c r="B3021" s="60">
        <v>3019</v>
      </c>
      <c r="C3021" s="61" t="s">
        <v>7436</v>
      </c>
      <c r="D3021" s="62" t="s">
        <v>7437</v>
      </c>
      <c r="E3021" s="63"/>
    </row>
    <row r="3022" spans="2:5" ht="33.75" customHeight="1">
      <c r="B3022" s="60">
        <v>3020</v>
      </c>
      <c r="C3022" s="61" t="s">
        <v>7438</v>
      </c>
      <c r="D3022" s="62" t="s">
        <v>7439</v>
      </c>
      <c r="E3022" s="63" t="s">
        <v>7440</v>
      </c>
    </row>
    <row r="3023" spans="2:5" ht="33.75" customHeight="1">
      <c r="B3023" s="60">
        <v>3021</v>
      </c>
      <c r="C3023" s="61" t="s">
        <v>7441</v>
      </c>
      <c r="D3023" s="62" t="s">
        <v>7442</v>
      </c>
      <c r="E3023" s="63" t="s">
        <v>7443</v>
      </c>
    </row>
    <row r="3024" spans="2:5" ht="33.75" customHeight="1">
      <c r="B3024" s="60">
        <v>3022</v>
      </c>
      <c r="C3024" s="61" t="s">
        <v>7444</v>
      </c>
      <c r="D3024" s="62" t="s">
        <v>7445</v>
      </c>
      <c r="E3024" s="63" t="s">
        <v>7446</v>
      </c>
    </row>
    <row r="3025" spans="2:5" ht="33.75" customHeight="1">
      <c r="B3025" s="60">
        <v>3023</v>
      </c>
      <c r="C3025" s="61" t="s">
        <v>7447</v>
      </c>
      <c r="D3025" s="62" t="s">
        <v>7448</v>
      </c>
      <c r="E3025" s="63" t="s">
        <v>7449</v>
      </c>
    </row>
    <row r="3026" spans="2:5" ht="33.75" customHeight="1">
      <c r="B3026" s="60">
        <v>3024</v>
      </c>
      <c r="C3026" s="61" t="s">
        <v>7450</v>
      </c>
      <c r="D3026" s="62" t="s">
        <v>7451</v>
      </c>
      <c r="E3026" s="63" t="s">
        <v>7452</v>
      </c>
    </row>
    <row r="3027" spans="2:5" ht="33.75" customHeight="1">
      <c r="B3027" s="60">
        <v>3025</v>
      </c>
      <c r="C3027" s="61" t="s">
        <v>7453</v>
      </c>
      <c r="D3027" s="62" t="s">
        <v>7454</v>
      </c>
      <c r="E3027" s="63" t="s">
        <v>7455</v>
      </c>
    </row>
    <row r="3028" spans="2:5" ht="33.75" customHeight="1">
      <c r="B3028" s="60">
        <v>3026</v>
      </c>
      <c r="C3028" s="61" t="s">
        <v>7456</v>
      </c>
      <c r="D3028" s="62" t="s">
        <v>7457</v>
      </c>
      <c r="E3028" s="63" t="s">
        <v>7458</v>
      </c>
    </row>
    <row r="3029" spans="2:5" ht="33.75" customHeight="1">
      <c r="B3029" s="60">
        <v>3027</v>
      </c>
      <c r="C3029" s="61" t="s">
        <v>7459</v>
      </c>
      <c r="D3029" s="62" t="s">
        <v>7460</v>
      </c>
      <c r="E3029" s="63" t="s">
        <v>7458</v>
      </c>
    </row>
    <row r="3030" spans="2:5" ht="33.75" customHeight="1">
      <c r="B3030" s="60">
        <v>3028</v>
      </c>
      <c r="C3030" s="61" t="s">
        <v>7461</v>
      </c>
      <c r="D3030" s="62" t="s">
        <v>7462</v>
      </c>
      <c r="E3030" s="63" t="s">
        <v>7463</v>
      </c>
    </row>
    <row r="3031" spans="2:5" ht="33.75" customHeight="1">
      <c r="B3031" s="60">
        <v>3029</v>
      </c>
      <c r="C3031" s="61" t="s">
        <v>7464</v>
      </c>
      <c r="D3031" s="62" t="s">
        <v>7465</v>
      </c>
      <c r="E3031" s="63" t="s">
        <v>7466</v>
      </c>
    </row>
    <row r="3032" spans="2:5" ht="33.75" customHeight="1">
      <c r="B3032" s="60">
        <v>3030</v>
      </c>
      <c r="C3032" s="61" t="s">
        <v>7467</v>
      </c>
      <c r="D3032" s="62" t="s">
        <v>7468</v>
      </c>
      <c r="E3032" s="63" t="s">
        <v>7469</v>
      </c>
    </row>
    <row r="3033" spans="2:5" ht="33.75" customHeight="1">
      <c r="B3033" s="60">
        <v>3031</v>
      </c>
      <c r="C3033" s="61" t="s">
        <v>7470</v>
      </c>
      <c r="D3033" s="62" t="s">
        <v>7471</v>
      </c>
      <c r="E3033" s="63" t="s">
        <v>7472</v>
      </c>
    </row>
    <row r="3034" spans="2:5" ht="33.75" customHeight="1">
      <c r="B3034" s="60">
        <v>3032</v>
      </c>
      <c r="C3034" s="61" t="s">
        <v>7473</v>
      </c>
      <c r="D3034" s="62" t="s">
        <v>7474</v>
      </c>
      <c r="E3034" s="63"/>
    </row>
    <row r="3035" spans="2:5" ht="33.75" customHeight="1">
      <c r="B3035" s="60">
        <v>3033</v>
      </c>
      <c r="C3035" s="61" t="s">
        <v>7475</v>
      </c>
      <c r="D3035" s="62" t="s">
        <v>7476</v>
      </c>
      <c r="E3035" s="63" t="s">
        <v>7477</v>
      </c>
    </row>
    <row r="3036" spans="2:5" ht="33.75" customHeight="1">
      <c r="B3036" s="60">
        <v>3034</v>
      </c>
      <c r="C3036" s="61" t="s">
        <v>7478</v>
      </c>
      <c r="D3036" s="62" t="s">
        <v>7479</v>
      </c>
      <c r="E3036" s="63"/>
    </row>
    <row r="3037" spans="2:5" ht="33.75" customHeight="1">
      <c r="B3037" s="60">
        <v>3035</v>
      </c>
      <c r="C3037" s="61" t="s">
        <v>7480</v>
      </c>
      <c r="D3037" s="62" t="s">
        <v>7481</v>
      </c>
      <c r="E3037" s="63" t="s">
        <v>7482</v>
      </c>
    </row>
    <row r="3038" spans="2:5" ht="33.75" customHeight="1">
      <c r="B3038" s="60">
        <v>3036</v>
      </c>
      <c r="C3038" s="61" t="s">
        <v>7483</v>
      </c>
      <c r="D3038" s="62" t="s">
        <v>7484</v>
      </c>
      <c r="E3038" s="63"/>
    </row>
    <row r="3039" spans="2:5" ht="33.75" customHeight="1">
      <c r="B3039" s="60">
        <v>3037</v>
      </c>
      <c r="C3039" s="61" t="s">
        <v>7485</v>
      </c>
      <c r="D3039" s="62" t="s">
        <v>7486</v>
      </c>
      <c r="E3039" s="63" t="s">
        <v>7487</v>
      </c>
    </row>
    <row r="3040" spans="2:5" ht="33.75" customHeight="1">
      <c r="B3040" s="60">
        <v>3038</v>
      </c>
      <c r="C3040" s="61" t="s">
        <v>7488</v>
      </c>
      <c r="D3040" s="62" t="s">
        <v>7489</v>
      </c>
      <c r="E3040" s="63" t="s">
        <v>7490</v>
      </c>
    </row>
    <row r="3041" spans="2:5" ht="33.75" customHeight="1">
      <c r="B3041" s="60">
        <v>3039</v>
      </c>
      <c r="C3041" s="61" t="s">
        <v>7491</v>
      </c>
      <c r="D3041" s="62" t="s">
        <v>7492</v>
      </c>
      <c r="E3041" s="63"/>
    </row>
    <row r="3042" spans="2:5" ht="33.75" customHeight="1">
      <c r="B3042" s="60">
        <v>3040</v>
      </c>
      <c r="C3042" s="61" t="s">
        <v>7493</v>
      </c>
      <c r="D3042" s="65" t="s">
        <v>7494</v>
      </c>
      <c r="E3042" s="63" t="s">
        <v>7495</v>
      </c>
    </row>
    <row r="3043" spans="2:5" ht="33.75" customHeight="1">
      <c r="B3043" s="60">
        <v>3041</v>
      </c>
      <c r="C3043" s="61" t="s">
        <v>7496</v>
      </c>
      <c r="D3043" s="62" t="s">
        <v>7497</v>
      </c>
      <c r="E3043" s="63"/>
    </row>
    <row r="3044" spans="2:5" ht="33.75" customHeight="1">
      <c r="B3044" s="60">
        <v>3042</v>
      </c>
      <c r="C3044" s="61" t="s">
        <v>7498</v>
      </c>
      <c r="D3044" s="62" t="s">
        <v>7499</v>
      </c>
      <c r="E3044" s="63" t="s">
        <v>7500</v>
      </c>
    </row>
    <row r="3045" spans="2:5" ht="33.75" customHeight="1">
      <c r="B3045" s="60">
        <v>3043</v>
      </c>
      <c r="C3045" s="61" t="s">
        <v>7501</v>
      </c>
      <c r="D3045" s="62" t="s">
        <v>7502</v>
      </c>
      <c r="E3045" s="63"/>
    </row>
    <row r="3046" spans="2:5" ht="33.75" customHeight="1">
      <c r="B3046" s="60">
        <v>3044</v>
      </c>
      <c r="C3046" s="61" t="s">
        <v>7503</v>
      </c>
      <c r="D3046" s="62" t="s">
        <v>7504</v>
      </c>
      <c r="E3046" s="63"/>
    </row>
    <row r="3047" spans="2:5" ht="33.75" customHeight="1">
      <c r="B3047" s="60">
        <v>3045</v>
      </c>
      <c r="C3047" s="61" t="s">
        <v>7505</v>
      </c>
      <c r="D3047" s="62" t="s">
        <v>7506</v>
      </c>
      <c r="E3047" s="63"/>
    </row>
    <row r="3048" spans="2:5" ht="33.75" customHeight="1">
      <c r="B3048" s="60">
        <v>3046</v>
      </c>
      <c r="C3048" s="61" t="s">
        <v>7507</v>
      </c>
      <c r="D3048" s="62" t="s">
        <v>7508</v>
      </c>
      <c r="E3048" s="63" t="s">
        <v>7509</v>
      </c>
    </row>
    <row r="3049" spans="2:5" ht="33.75" customHeight="1">
      <c r="B3049" s="60">
        <v>3047</v>
      </c>
      <c r="C3049" s="61" t="s">
        <v>7510</v>
      </c>
      <c r="D3049" s="62" t="s">
        <v>7511</v>
      </c>
      <c r="E3049" s="63" t="s">
        <v>7512</v>
      </c>
    </row>
    <row r="3050" spans="2:5" ht="33.75" customHeight="1">
      <c r="B3050" s="60">
        <v>3048</v>
      </c>
      <c r="C3050" s="61" t="s">
        <v>7513</v>
      </c>
      <c r="D3050" s="62" t="s">
        <v>7514</v>
      </c>
      <c r="E3050" s="63" t="s">
        <v>7515</v>
      </c>
    </row>
    <row r="3051" spans="2:5" ht="33.75" customHeight="1">
      <c r="B3051" s="60">
        <v>3049</v>
      </c>
      <c r="C3051" s="61" t="s">
        <v>7516</v>
      </c>
      <c r="D3051" s="62" t="s">
        <v>7517</v>
      </c>
      <c r="E3051" s="63" t="s">
        <v>7518</v>
      </c>
    </row>
    <row r="3052" spans="2:5" ht="33.75" customHeight="1">
      <c r="B3052" s="60">
        <v>3050</v>
      </c>
      <c r="C3052" s="61" t="s">
        <v>7519</v>
      </c>
      <c r="D3052" s="62" t="s">
        <v>7520</v>
      </c>
      <c r="E3052" s="63"/>
    </row>
    <row r="3053" spans="2:5" ht="33.75" customHeight="1">
      <c r="B3053" s="60">
        <v>3051</v>
      </c>
      <c r="C3053" s="61" t="s">
        <v>7521</v>
      </c>
      <c r="D3053" s="62" t="s">
        <v>7522</v>
      </c>
      <c r="E3053" s="63"/>
    </row>
    <row r="3054" spans="2:5" ht="33.75" customHeight="1">
      <c r="B3054" s="60">
        <v>3052</v>
      </c>
      <c r="C3054" s="61" t="s">
        <v>7523</v>
      </c>
      <c r="D3054" s="62" t="s">
        <v>7524</v>
      </c>
      <c r="E3054" s="63" t="s">
        <v>7525</v>
      </c>
    </row>
    <row r="3055" spans="2:5" ht="33.75" customHeight="1">
      <c r="B3055" s="60">
        <v>3053</v>
      </c>
      <c r="C3055" s="61" t="s">
        <v>7526</v>
      </c>
      <c r="D3055" s="62" t="s">
        <v>7527</v>
      </c>
      <c r="E3055" s="63" t="s">
        <v>7528</v>
      </c>
    </row>
    <row r="3056" spans="2:5" ht="33.75" customHeight="1">
      <c r="B3056" s="60">
        <v>3054</v>
      </c>
      <c r="C3056" s="61" t="s">
        <v>7529</v>
      </c>
      <c r="D3056" s="62" t="s">
        <v>7530</v>
      </c>
      <c r="E3056" s="63"/>
    </row>
  </sheetData>
  <phoneticPr fontId="10" type="noConversion"/>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문항카드 생성</vt:lpstr>
      <vt:lpstr>성취기준(22개정)</vt:lpstr>
      <vt:lpstr>'문항카드 생성'!Print_Area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USER</cp:lastModifiedBy>
  <cp:revision>0</cp:revision>
  <dcterms:created xsi:type="dcterms:W3CDTF">2023-04-05T04:32:11Z</dcterms:created>
  <dcterms:modified xsi:type="dcterms:W3CDTF">2026-09-17T05:42:36Z</dcterms:modified>
  <dc:language>en-US</dc:language>
</cp:coreProperties>
</file>